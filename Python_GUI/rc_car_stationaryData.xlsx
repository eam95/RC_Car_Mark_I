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_car_stationary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<sst xmlns="http://schemas.openxmlformats.org/spreadsheetml/2006/main" count="21" uniqueCount="18">
  <si>
    <t xml:space="preserve">Time (s)</t>
  </si>
  <si>
    <t xml:space="preserve">Distance (cm)</t>
  </si>
  <si>
    <t xml:space="preserve">ax (mg) Angled</t>
  </si>
  <si>
    <t xml:space="preserve">ay (mg) Angled</t>
  </si>
  <si>
    <t xml:space="preserve">az (mg) Angled</t>
  </si>
  <si>
    <t xml:space="preserve">vx (m/s) Drifted</t>
  </si>
  <si>
    <t xml:space="preserve">ax (mg) Calibrated</t>
  </si>
  <si>
    <t xml:space="preserve">ay (mg) Calibrated</t>
  </si>
  <si>
    <t xml:space="preserve">az (mg) Calibrated</t>
  </si>
  <si>
    <t xml:space="preserve">vx (m/s) After Calibration</t>
  </si>
  <si>
    <t xml:space="preserve">ax angled</t>
  </si>
  <si>
    <t xml:space="preserve">ay angled</t>
  </si>
  <si>
    <t xml:space="preserve">az angled</t>
  </si>
  <si>
    <t xml:space="preserve">avg</t>
  </si>
  <si>
    <t xml:space="preserve">std</t>
  </si>
  <si>
    <t xml:space="preserve">ax calibrated</t>
  </si>
  <si>
    <t xml:space="preserve">ay calibrated</t>
  </si>
  <si>
    <t xml:space="preserve">az calibrated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</si>
</sst>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Accelaration Angled vs Calibrated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101881367586"/>
          <c:y val="0.165018335370597"/>
          <c:w val="0.722107631726983"/>
          <c:h val="0.62718079786643"/>
        </c:manualLayout>
      </c:layout>
      <c:scatterChart>
        <c:scatterStyle val="line"/>
        <c:varyColors val="0"/>
        <c:ser>
          <c:idx val="0"/>
          <c:order val="0"/>
          <c:tx>
            <c:strRef>
              <c:f>rc_car_stationaryData!$N$1</c:f>
              <c:strCache>
                <c:ptCount val="1"/>
                <c:pt idx="0">
                  <c:v>ax (mg) Calibrated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rc_car_stationaryData!$M$2:$M$100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rc_car_stationaryData!$N$2:$N$100</c:f>
              <c:numCache>
                <c:formatCode>General</c:formatCode>
                <c:ptCount val="99"/>
                <c:pt idx="0">
                  <c:v>-4.13131313131314</c:v>
                </c:pt>
                <c:pt idx="1">
                  <c:v>-0.131313131313135</c:v>
                </c:pt>
                <c:pt idx="2">
                  <c:v>-4.13131313131314</c:v>
                </c:pt>
                <c:pt idx="3">
                  <c:v>-0.131313131313135</c:v>
                </c:pt>
                <c:pt idx="4">
                  <c:v>-0.131313131313135</c:v>
                </c:pt>
                <c:pt idx="5">
                  <c:v>-4.13131313131314</c:v>
                </c:pt>
                <c:pt idx="6">
                  <c:v>-0.131313131313135</c:v>
                </c:pt>
                <c:pt idx="7">
                  <c:v>-0.131313131313135</c:v>
                </c:pt>
                <c:pt idx="8">
                  <c:v>3.86868686868687</c:v>
                </c:pt>
                <c:pt idx="9">
                  <c:v>7.86868686868687</c:v>
                </c:pt>
                <c:pt idx="10">
                  <c:v>-4.13131313131314</c:v>
                </c:pt>
                <c:pt idx="11">
                  <c:v>-0.131313131313135</c:v>
                </c:pt>
                <c:pt idx="12">
                  <c:v>3.86868686868687</c:v>
                </c:pt>
                <c:pt idx="13">
                  <c:v>-0.131313131313135</c:v>
                </c:pt>
                <c:pt idx="14">
                  <c:v>3.86868686868687</c:v>
                </c:pt>
                <c:pt idx="15">
                  <c:v>-4.13131313131314</c:v>
                </c:pt>
                <c:pt idx="16">
                  <c:v>-4.13131313131314</c:v>
                </c:pt>
                <c:pt idx="17">
                  <c:v>3.86868686868687</c:v>
                </c:pt>
                <c:pt idx="18">
                  <c:v>3.86868686868687</c:v>
                </c:pt>
                <c:pt idx="19">
                  <c:v>3.86868686868687</c:v>
                </c:pt>
                <c:pt idx="20">
                  <c:v>-0.131313131313135</c:v>
                </c:pt>
                <c:pt idx="21">
                  <c:v>-4.13131313131314</c:v>
                </c:pt>
                <c:pt idx="22">
                  <c:v>3.86868686868687</c:v>
                </c:pt>
                <c:pt idx="23">
                  <c:v>3.86868686868687</c:v>
                </c:pt>
                <c:pt idx="24">
                  <c:v>3.86868686868687</c:v>
                </c:pt>
                <c:pt idx="25">
                  <c:v>-4.13131313131314</c:v>
                </c:pt>
                <c:pt idx="26">
                  <c:v>-8.13131313131314</c:v>
                </c:pt>
                <c:pt idx="27">
                  <c:v>-4.13131313131314</c:v>
                </c:pt>
                <c:pt idx="28">
                  <c:v>-0.131313131313135</c:v>
                </c:pt>
                <c:pt idx="29">
                  <c:v>3.86868686868687</c:v>
                </c:pt>
                <c:pt idx="30">
                  <c:v>-0.131313131313135</c:v>
                </c:pt>
                <c:pt idx="31">
                  <c:v>-0.131313131313135</c:v>
                </c:pt>
                <c:pt idx="32">
                  <c:v>-0.131313131313135</c:v>
                </c:pt>
                <c:pt idx="33">
                  <c:v>-11.1313131313131</c:v>
                </c:pt>
                <c:pt idx="34">
                  <c:v>3.86868686868687</c:v>
                </c:pt>
                <c:pt idx="35">
                  <c:v>-4.13131313131314</c:v>
                </c:pt>
                <c:pt idx="36">
                  <c:v>-0.131313131313135</c:v>
                </c:pt>
                <c:pt idx="37">
                  <c:v>-4.13131313131314</c:v>
                </c:pt>
                <c:pt idx="38">
                  <c:v>11.8686868686869</c:v>
                </c:pt>
                <c:pt idx="39">
                  <c:v>-0.131313131313135</c:v>
                </c:pt>
                <c:pt idx="40">
                  <c:v>3.86868686868687</c:v>
                </c:pt>
                <c:pt idx="41">
                  <c:v>-0.131313131313135</c:v>
                </c:pt>
                <c:pt idx="42">
                  <c:v>-0.131313131313135</c:v>
                </c:pt>
                <c:pt idx="43">
                  <c:v>3.86868686868687</c:v>
                </c:pt>
                <c:pt idx="44">
                  <c:v>3.86868686868687</c:v>
                </c:pt>
                <c:pt idx="45">
                  <c:v>3.86868686868687</c:v>
                </c:pt>
                <c:pt idx="46">
                  <c:v>-0.131313131313135</c:v>
                </c:pt>
                <c:pt idx="47">
                  <c:v>-0.131313131313135</c:v>
                </c:pt>
                <c:pt idx="48">
                  <c:v>-0.131313131313135</c:v>
                </c:pt>
                <c:pt idx="49">
                  <c:v>3.86868686868687</c:v>
                </c:pt>
                <c:pt idx="50">
                  <c:v>7.86868686868687</c:v>
                </c:pt>
                <c:pt idx="51">
                  <c:v>-0.131313131313135</c:v>
                </c:pt>
                <c:pt idx="52">
                  <c:v>-4.13131313131314</c:v>
                </c:pt>
                <c:pt idx="53">
                  <c:v>-0.131313131313135</c:v>
                </c:pt>
                <c:pt idx="54">
                  <c:v>7.86868686868687</c:v>
                </c:pt>
                <c:pt idx="55">
                  <c:v>-0.131313131313135</c:v>
                </c:pt>
                <c:pt idx="56">
                  <c:v>-0.131313131313135</c:v>
                </c:pt>
                <c:pt idx="57">
                  <c:v>-4.13131313131314</c:v>
                </c:pt>
                <c:pt idx="58">
                  <c:v>-4.13131313131314</c:v>
                </c:pt>
                <c:pt idx="59">
                  <c:v>-4.13131313131314</c:v>
                </c:pt>
                <c:pt idx="60">
                  <c:v>-0.131313131313135</c:v>
                </c:pt>
                <c:pt idx="61">
                  <c:v>-4.13131313131314</c:v>
                </c:pt>
                <c:pt idx="62">
                  <c:v>-0.131313131313135</c:v>
                </c:pt>
                <c:pt idx="63">
                  <c:v>-4.13131313131314</c:v>
                </c:pt>
                <c:pt idx="64">
                  <c:v>-4.13131313131314</c:v>
                </c:pt>
                <c:pt idx="65">
                  <c:v>7.86868686868687</c:v>
                </c:pt>
                <c:pt idx="66">
                  <c:v>-4.13131313131314</c:v>
                </c:pt>
                <c:pt idx="67">
                  <c:v>7.86868686868687</c:v>
                </c:pt>
                <c:pt idx="68">
                  <c:v>-0.131313131313135</c:v>
                </c:pt>
                <c:pt idx="69">
                  <c:v>-4.13131313131314</c:v>
                </c:pt>
                <c:pt idx="70">
                  <c:v>-8.13131313131314</c:v>
                </c:pt>
                <c:pt idx="71">
                  <c:v>7.86868686868687</c:v>
                </c:pt>
                <c:pt idx="72">
                  <c:v>-0.131313131313135</c:v>
                </c:pt>
                <c:pt idx="73">
                  <c:v>-0.131313131313135</c:v>
                </c:pt>
                <c:pt idx="74">
                  <c:v>-4.13131313131314</c:v>
                </c:pt>
                <c:pt idx="75">
                  <c:v>-0.131313131313135</c:v>
                </c:pt>
                <c:pt idx="76">
                  <c:v>-0.131313131313135</c:v>
                </c:pt>
                <c:pt idx="77">
                  <c:v>3.86868686868687</c:v>
                </c:pt>
                <c:pt idx="78">
                  <c:v>-0.131313131313135</c:v>
                </c:pt>
                <c:pt idx="79">
                  <c:v>7.86868686868687</c:v>
                </c:pt>
                <c:pt idx="80">
                  <c:v>-0.131313131313135</c:v>
                </c:pt>
                <c:pt idx="81">
                  <c:v>-0.131313131313135</c:v>
                </c:pt>
                <c:pt idx="82">
                  <c:v>-0.131313131313135</c:v>
                </c:pt>
                <c:pt idx="83">
                  <c:v>-8.13131313131314</c:v>
                </c:pt>
                <c:pt idx="84">
                  <c:v>-4.13131313131314</c:v>
                </c:pt>
                <c:pt idx="85">
                  <c:v>-4.13131313131314</c:v>
                </c:pt>
                <c:pt idx="86">
                  <c:v>3.86868686868687</c:v>
                </c:pt>
                <c:pt idx="87">
                  <c:v>-0.131313131313135</c:v>
                </c:pt>
                <c:pt idx="88">
                  <c:v>3.86868686868687</c:v>
                </c:pt>
                <c:pt idx="89">
                  <c:v>3.86868686868687</c:v>
                </c:pt>
                <c:pt idx="90">
                  <c:v>-0.131313131313135</c:v>
                </c:pt>
                <c:pt idx="91">
                  <c:v>3.86868686868687</c:v>
                </c:pt>
                <c:pt idx="92">
                  <c:v>-4.13131313131314</c:v>
                </c:pt>
                <c:pt idx="93">
                  <c:v>-4.13131313131314</c:v>
                </c:pt>
                <c:pt idx="94">
                  <c:v>3.86868686868687</c:v>
                </c:pt>
                <c:pt idx="95">
                  <c:v>-0.131313131313135</c:v>
                </c:pt>
                <c:pt idx="96">
                  <c:v>-0.131313131313135</c:v>
                </c:pt>
                <c:pt idx="97">
                  <c:v>-4.13131313131314</c:v>
                </c:pt>
                <c:pt idx="98">
                  <c:v>-4.13131313131314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rc_car_stationaryData!$O$1</c:f>
              <c:strCache>
                <c:ptCount val="1"/>
                <c:pt idx="0">
                  <c:v>ay (mg) Calibrated</c:v>
                </c:pt>
              </c:strCache>
            </c:strRef>
          </c:tx>
          <c:spPr>
            <a:solidFill>
              <a:srgbClr val="2a6099"/>
            </a:solidFill>
            <a:ln w="28800">
              <a:solidFill>
                <a:srgbClr val="2a60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rc_car_stationaryData!$M$2:$M$100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rc_car_stationaryData!$O$2:$O$100</c:f>
              <c:numCache>
                <c:formatCode>General</c:formatCode>
                <c:ptCount val="99"/>
                <c:pt idx="0">
                  <c:v>-1.4949494949495</c:v>
                </c:pt>
                <c:pt idx="1">
                  <c:v>-1.4949494949495</c:v>
                </c:pt>
                <c:pt idx="2">
                  <c:v>-1.4949494949495</c:v>
                </c:pt>
                <c:pt idx="3">
                  <c:v>-4.4949494949495</c:v>
                </c:pt>
                <c:pt idx="4">
                  <c:v>5.50505050505051</c:v>
                </c:pt>
                <c:pt idx="5">
                  <c:v>-4.4949494949495</c:v>
                </c:pt>
                <c:pt idx="6">
                  <c:v>-1.4949494949495</c:v>
                </c:pt>
                <c:pt idx="7">
                  <c:v>-8.4949494949495</c:v>
                </c:pt>
                <c:pt idx="8">
                  <c:v>1.50505050505051</c:v>
                </c:pt>
                <c:pt idx="9">
                  <c:v>-1.4949494949495</c:v>
                </c:pt>
                <c:pt idx="10">
                  <c:v>-1.4949494949495</c:v>
                </c:pt>
                <c:pt idx="11">
                  <c:v>-1.4949494949495</c:v>
                </c:pt>
                <c:pt idx="12">
                  <c:v>-4.4949494949495</c:v>
                </c:pt>
                <c:pt idx="13">
                  <c:v>1.50505050505051</c:v>
                </c:pt>
                <c:pt idx="14">
                  <c:v>-1.4949494949495</c:v>
                </c:pt>
                <c:pt idx="15">
                  <c:v>5.50505050505051</c:v>
                </c:pt>
                <c:pt idx="16">
                  <c:v>1.50505050505051</c:v>
                </c:pt>
                <c:pt idx="17">
                  <c:v>-1.4949494949495</c:v>
                </c:pt>
                <c:pt idx="18">
                  <c:v>-1.4949494949495</c:v>
                </c:pt>
                <c:pt idx="19">
                  <c:v>1.50505050505051</c:v>
                </c:pt>
                <c:pt idx="20">
                  <c:v>1.50505050505051</c:v>
                </c:pt>
                <c:pt idx="21">
                  <c:v>-1.4949494949495</c:v>
                </c:pt>
                <c:pt idx="22">
                  <c:v>1.50505050505051</c:v>
                </c:pt>
                <c:pt idx="23">
                  <c:v>9.50505050505051</c:v>
                </c:pt>
                <c:pt idx="24">
                  <c:v>-1.4949494949495</c:v>
                </c:pt>
                <c:pt idx="25">
                  <c:v>-1.4949494949495</c:v>
                </c:pt>
                <c:pt idx="26">
                  <c:v>5.50505050505051</c:v>
                </c:pt>
                <c:pt idx="27">
                  <c:v>-1.4949494949495</c:v>
                </c:pt>
                <c:pt idx="28">
                  <c:v>-4.4949494949495</c:v>
                </c:pt>
                <c:pt idx="29">
                  <c:v>9.50505050505051</c:v>
                </c:pt>
                <c:pt idx="30">
                  <c:v>1.50505050505051</c:v>
                </c:pt>
                <c:pt idx="31">
                  <c:v>-1.4949494949495</c:v>
                </c:pt>
                <c:pt idx="32">
                  <c:v>-1.4949494949495</c:v>
                </c:pt>
                <c:pt idx="33">
                  <c:v>-1.4949494949495</c:v>
                </c:pt>
                <c:pt idx="34">
                  <c:v>-1.4949494949495</c:v>
                </c:pt>
                <c:pt idx="35">
                  <c:v>1.50505050505051</c:v>
                </c:pt>
                <c:pt idx="36">
                  <c:v>-1.4949494949495</c:v>
                </c:pt>
                <c:pt idx="37">
                  <c:v>-12.4949494949495</c:v>
                </c:pt>
                <c:pt idx="38">
                  <c:v>-4.4949494949495</c:v>
                </c:pt>
                <c:pt idx="39">
                  <c:v>-1.4949494949495</c:v>
                </c:pt>
                <c:pt idx="40">
                  <c:v>-4.4949494949495</c:v>
                </c:pt>
                <c:pt idx="41">
                  <c:v>1.50505050505051</c:v>
                </c:pt>
                <c:pt idx="42">
                  <c:v>1.50505050505051</c:v>
                </c:pt>
                <c:pt idx="43">
                  <c:v>-1.4949494949495</c:v>
                </c:pt>
                <c:pt idx="44">
                  <c:v>-1.4949494949495</c:v>
                </c:pt>
                <c:pt idx="45">
                  <c:v>-1.4949494949495</c:v>
                </c:pt>
                <c:pt idx="46">
                  <c:v>5.50505050505051</c:v>
                </c:pt>
                <c:pt idx="47">
                  <c:v>-1.4949494949495</c:v>
                </c:pt>
                <c:pt idx="48">
                  <c:v>-1.4949494949495</c:v>
                </c:pt>
                <c:pt idx="49">
                  <c:v>1.50505050505051</c:v>
                </c:pt>
                <c:pt idx="50">
                  <c:v>1.50505050505051</c:v>
                </c:pt>
                <c:pt idx="51">
                  <c:v>5.50505050505051</c:v>
                </c:pt>
                <c:pt idx="52">
                  <c:v>-1.4949494949495</c:v>
                </c:pt>
                <c:pt idx="53">
                  <c:v>1.50505050505051</c:v>
                </c:pt>
                <c:pt idx="54">
                  <c:v>1.50505050505051</c:v>
                </c:pt>
                <c:pt idx="55">
                  <c:v>5.50505050505051</c:v>
                </c:pt>
                <c:pt idx="56">
                  <c:v>5.50505050505051</c:v>
                </c:pt>
                <c:pt idx="57">
                  <c:v>-1.4949494949495</c:v>
                </c:pt>
                <c:pt idx="58">
                  <c:v>-1.4949494949495</c:v>
                </c:pt>
                <c:pt idx="59">
                  <c:v>-1.4949494949495</c:v>
                </c:pt>
                <c:pt idx="60">
                  <c:v>1.50505050505051</c:v>
                </c:pt>
                <c:pt idx="61">
                  <c:v>1.50505050505051</c:v>
                </c:pt>
                <c:pt idx="62">
                  <c:v>-1.4949494949495</c:v>
                </c:pt>
                <c:pt idx="63">
                  <c:v>1.50505050505051</c:v>
                </c:pt>
                <c:pt idx="64">
                  <c:v>-1.4949494949495</c:v>
                </c:pt>
                <c:pt idx="65">
                  <c:v>1.50505050505051</c:v>
                </c:pt>
                <c:pt idx="66">
                  <c:v>9.50505050505051</c:v>
                </c:pt>
                <c:pt idx="67">
                  <c:v>1.50505050505051</c:v>
                </c:pt>
                <c:pt idx="68">
                  <c:v>-1.4949494949495</c:v>
                </c:pt>
                <c:pt idx="69">
                  <c:v>5.50505050505051</c:v>
                </c:pt>
                <c:pt idx="70">
                  <c:v>1.50505050505051</c:v>
                </c:pt>
                <c:pt idx="71">
                  <c:v>-1.4949494949495</c:v>
                </c:pt>
                <c:pt idx="72">
                  <c:v>-1.4949494949495</c:v>
                </c:pt>
                <c:pt idx="73">
                  <c:v>5.50505050505051</c:v>
                </c:pt>
                <c:pt idx="74">
                  <c:v>-1.4949494949495</c:v>
                </c:pt>
                <c:pt idx="75">
                  <c:v>-4.4949494949495</c:v>
                </c:pt>
                <c:pt idx="76">
                  <c:v>-4.4949494949495</c:v>
                </c:pt>
                <c:pt idx="77">
                  <c:v>-1.4949494949495</c:v>
                </c:pt>
                <c:pt idx="78">
                  <c:v>-1.4949494949495</c:v>
                </c:pt>
                <c:pt idx="79">
                  <c:v>1.50505050505051</c:v>
                </c:pt>
                <c:pt idx="80">
                  <c:v>-1.4949494949495</c:v>
                </c:pt>
                <c:pt idx="81">
                  <c:v>1.50505050505051</c:v>
                </c:pt>
                <c:pt idx="82">
                  <c:v>1.50505050505051</c:v>
                </c:pt>
                <c:pt idx="83">
                  <c:v>1.50505050505051</c:v>
                </c:pt>
                <c:pt idx="84">
                  <c:v>-1.4949494949495</c:v>
                </c:pt>
                <c:pt idx="85">
                  <c:v>1.50505050505051</c:v>
                </c:pt>
                <c:pt idx="86">
                  <c:v>-4.4949494949495</c:v>
                </c:pt>
                <c:pt idx="87">
                  <c:v>-1.4949494949495</c:v>
                </c:pt>
                <c:pt idx="88">
                  <c:v>-4.4949494949495</c:v>
                </c:pt>
                <c:pt idx="89">
                  <c:v>1.50505050505051</c:v>
                </c:pt>
                <c:pt idx="90">
                  <c:v>-1.4949494949495</c:v>
                </c:pt>
                <c:pt idx="91">
                  <c:v>-1.4949494949495</c:v>
                </c:pt>
                <c:pt idx="92">
                  <c:v>-1.4949494949495</c:v>
                </c:pt>
                <c:pt idx="93">
                  <c:v>-4.4949494949495</c:v>
                </c:pt>
                <c:pt idx="94">
                  <c:v>-1.4949494949495</c:v>
                </c:pt>
                <c:pt idx="95">
                  <c:v>1.50505050505051</c:v>
                </c:pt>
                <c:pt idx="96">
                  <c:v>-1.4949494949495</c:v>
                </c:pt>
                <c:pt idx="97">
                  <c:v>1.50505050505051</c:v>
                </c:pt>
                <c:pt idx="98">
                  <c:v>17.5050505050505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rc_car_stationaryData!$P$1</c:f>
              <c:strCache>
                <c:ptCount val="1"/>
                <c:pt idx="0">
                  <c:v>az (mg) Calibrated</c:v>
                </c:pt>
              </c:strCache>
            </c:strRef>
          </c:tx>
          <c:spPr>
            <a:solidFill>
              <a:srgbClr val="00a933"/>
            </a:solidFill>
            <a:ln w="28800">
              <a:solidFill>
                <a:srgbClr val="00a933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rc_car_stationaryData!$M$2:$M$100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rc_car_stationaryData!$P$2:$P$100</c:f>
              <c:numCache>
                <c:formatCode>General</c:formatCode>
                <c:ptCount val="99"/>
                <c:pt idx="0">
                  <c:v>-4.4545454545455</c:v>
                </c:pt>
                <c:pt idx="1">
                  <c:v>-0.454545454545496</c:v>
                </c:pt>
                <c:pt idx="2">
                  <c:v>3.5454545454545</c:v>
                </c:pt>
                <c:pt idx="3">
                  <c:v>7.5454545454545</c:v>
                </c:pt>
                <c:pt idx="4">
                  <c:v>3.5454545454545</c:v>
                </c:pt>
                <c:pt idx="5">
                  <c:v>-4.4545454545455</c:v>
                </c:pt>
                <c:pt idx="6">
                  <c:v>7.5454545454545</c:v>
                </c:pt>
                <c:pt idx="7">
                  <c:v>-4.4545454545455</c:v>
                </c:pt>
                <c:pt idx="8">
                  <c:v>-7.4545454545455</c:v>
                </c:pt>
                <c:pt idx="9">
                  <c:v>-0.454545454545496</c:v>
                </c:pt>
                <c:pt idx="10">
                  <c:v>7.5454545454545</c:v>
                </c:pt>
                <c:pt idx="11">
                  <c:v>3.5454545454545</c:v>
                </c:pt>
                <c:pt idx="12">
                  <c:v>-0.454545454545496</c:v>
                </c:pt>
                <c:pt idx="13">
                  <c:v>3.5454545454545</c:v>
                </c:pt>
                <c:pt idx="14">
                  <c:v>-4.4545454545455</c:v>
                </c:pt>
                <c:pt idx="15">
                  <c:v>-4.4545454545455</c:v>
                </c:pt>
                <c:pt idx="16">
                  <c:v>-0.454545454545496</c:v>
                </c:pt>
                <c:pt idx="17">
                  <c:v>-0.454545454545496</c:v>
                </c:pt>
                <c:pt idx="18">
                  <c:v>3.5454545454545</c:v>
                </c:pt>
                <c:pt idx="19">
                  <c:v>7.5454545454545</c:v>
                </c:pt>
                <c:pt idx="20">
                  <c:v>-0.454545454545496</c:v>
                </c:pt>
                <c:pt idx="21">
                  <c:v>-0.454545454545496</c:v>
                </c:pt>
                <c:pt idx="22">
                  <c:v>3.5454545454545</c:v>
                </c:pt>
                <c:pt idx="23">
                  <c:v>7.5454545454545</c:v>
                </c:pt>
                <c:pt idx="24">
                  <c:v>-4.4545454545455</c:v>
                </c:pt>
                <c:pt idx="25">
                  <c:v>-0.454545454545496</c:v>
                </c:pt>
                <c:pt idx="26">
                  <c:v>-4.4545454545455</c:v>
                </c:pt>
                <c:pt idx="27">
                  <c:v>7.5454545454545</c:v>
                </c:pt>
                <c:pt idx="28">
                  <c:v>-0.454545454545496</c:v>
                </c:pt>
                <c:pt idx="29">
                  <c:v>15.5454545454545</c:v>
                </c:pt>
                <c:pt idx="30">
                  <c:v>-0.454545454545496</c:v>
                </c:pt>
                <c:pt idx="31">
                  <c:v>7.5454545454545</c:v>
                </c:pt>
                <c:pt idx="32">
                  <c:v>-0.454545454545496</c:v>
                </c:pt>
                <c:pt idx="33">
                  <c:v>7.5454545454545</c:v>
                </c:pt>
                <c:pt idx="34">
                  <c:v>-0.454545454545496</c:v>
                </c:pt>
                <c:pt idx="35">
                  <c:v>3.5454545454545</c:v>
                </c:pt>
                <c:pt idx="36">
                  <c:v>-0.454545454545496</c:v>
                </c:pt>
                <c:pt idx="37">
                  <c:v>-4.4545454545455</c:v>
                </c:pt>
                <c:pt idx="38">
                  <c:v>-19.4545454545455</c:v>
                </c:pt>
                <c:pt idx="39">
                  <c:v>-0.454545454545496</c:v>
                </c:pt>
                <c:pt idx="40">
                  <c:v>3.5454545454545</c:v>
                </c:pt>
                <c:pt idx="41">
                  <c:v>-4.4545454545455</c:v>
                </c:pt>
                <c:pt idx="42">
                  <c:v>3.5454545454545</c:v>
                </c:pt>
                <c:pt idx="43">
                  <c:v>7.5454545454545</c:v>
                </c:pt>
                <c:pt idx="44">
                  <c:v>-7.4545454545455</c:v>
                </c:pt>
                <c:pt idx="45">
                  <c:v>-0.454545454545496</c:v>
                </c:pt>
                <c:pt idx="46">
                  <c:v>3.5454545454545</c:v>
                </c:pt>
                <c:pt idx="47">
                  <c:v>-0.454545454545496</c:v>
                </c:pt>
                <c:pt idx="48">
                  <c:v>-0.454545454545496</c:v>
                </c:pt>
                <c:pt idx="49">
                  <c:v>-4.4545454545455</c:v>
                </c:pt>
                <c:pt idx="50">
                  <c:v>-0.454545454545496</c:v>
                </c:pt>
                <c:pt idx="51">
                  <c:v>7.5454545454545</c:v>
                </c:pt>
                <c:pt idx="52">
                  <c:v>3.5454545454545</c:v>
                </c:pt>
                <c:pt idx="53">
                  <c:v>-0.454545454545496</c:v>
                </c:pt>
                <c:pt idx="54">
                  <c:v>-0.454545454545496</c:v>
                </c:pt>
                <c:pt idx="55">
                  <c:v>-0.454545454545496</c:v>
                </c:pt>
                <c:pt idx="56">
                  <c:v>3.5454545454545</c:v>
                </c:pt>
                <c:pt idx="57">
                  <c:v>-7.4545454545455</c:v>
                </c:pt>
                <c:pt idx="58">
                  <c:v>-4.4545454545455</c:v>
                </c:pt>
                <c:pt idx="59">
                  <c:v>-4.4545454545455</c:v>
                </c:pt>
                <c:pt idx="60">
                  <c:v>-7.4545454545455</c:v>
                </c:pt>
                <c:pt idx="61">
                  <c:v>3.5454545454545</c:v>
                </c:pt>
                <c:pt idx="62">
                  <c:v>-4.4545454545455</c:v>
                </c:pt>
                <c:pt idx="63">
                  <c:v>3.5454545454545</c:v>
                </c:pt>
                <c:pt idx="64">
                  <c:v>-0.454545454545496</c:v>
                </c:pt>
                <c:pt idx="65">
                  <c:v>-4.4545454545455</c:v>
                </c:pt>
                <c:pt idx="66">
                  <c:v>-0.454545454545496</c:v>
                </c:pt>
                <c:pt idx="67">
                  <c:v>-4.4545454545455</c:v>
                </c:pt>
                <c:pt idx="68">
                  <c:v>-4.4545454545455</c:v>
                </c:pt>
                <c:pt idx="69">
                  <c:v>3.5454545454545</c:v>
                </c:pt>
                <c:pt idx="70">
                  <c:v>-0.454545454545496</c:v>
                </c:pt>
                <c:pt idx="71">
                  <c:v>-7.4545454545455</c:v>
                </c:pt>
                <c:pt idx="72">
                  <c:v>3.5454545454545</c:v>
                </c:pt>
                <c:pt idx="73">
                  <c:v>-4.4545454545455</c:v>
                </c:pt>
                <c:pt idx="74">
                  <c:v>3.5454545454545</c:v>
                </c:pt>
                <c:pt idx="75">
                  <c:v>-0.454545454545496</c:v>
                </c:pt>
                <c:pt idx="76">
                  <c:v>-0.454545454545496</c:v>
                </c:pt>
                <c:pt idx="77">
                  <c:v>3.5454545454545</c:v>
                </c:pt>
                <c:pt idx="78">
                  <c:v>-4.4545454545455</c:v>
                </c:pt>
                <c:pt idx="79">
                  <c:v>-0.454545454545496</c:v>
                </c:pt>
                <c:pt idx="80">
                  <c:v>-0.454545454545496</c:v>
                </c:pt>
                <c:pt idx="81">
                  <c:v>-0.454545454545496</c:v>
                </c:pt>
                <c:pt idx="82">
                  <c:v>-7.4545454545455</c:v>
                </c:pt>
                <c:pt idx="83">
                  <c:v>-7.4545454545455</c:v>
                </c:pt>
                <c:pt idx="84">
                  <c:v>-4.4545454545455</c:v>
                </c:pt>
                <c:pt idx="85">
                  <c:v>-4.4545454545455</c:v>
                </c:pt>
                <c:pt idx="86">
                  <c:v>11.5454545454545</c:v>
                </c:pt>
                <c:pt idx="87">
                  <c:v>-0.454545454545496</c:v>
                </c:pt>
                <c:pt idx="88">
                  <c:v>3.5454545454545</c:v>
                </c:pt>
                <c:pt idx="89">
                  <c:v>-0.454545454545496</c:v>
                </c:pt>
                <c:pt idx="90">
                  <c:v>3.5454545454545</c:v>
                </c:pt>
                <c:pt idx="91">
                  <c:v>-15.4545454545455</c:v>
                </c:pt>
                <c:pt idx="92">
                  <c:v>-0.454545454545496</c:v>
                </c:pt>
                <c:pt idx="93">
                  <c:v>-0.454545454545496</c:v>
                </c:pt>
                <c:pt idx="94">
                  <c:v>3.5454545454545</c:v>
                </c:pt>
                <c:pt idx="95">
                  <c:v>3.5454545454545</c:v>
                </c:pt>
                <c:pt idx="96">
                  <c:v>3.5454545454545</c:v>
                </c:pt>
                <c:pt idx="97">
                  <c:v>-4.4545454545455</c:v>
                </c:pt>
                <c:pt idx="98">
                  <c:v>11.5454545454545</c:v>
                </c:pt>
              </c:numCache>
            </c:numRef>
          </c:yVal>
          <c:smooth val="1"/>
        </c:ser>
        <c:axId val="51531967"/>
        <c:axId val="73962959"/>
      </c:scatterChart>
      <c:scatterChart>
        <c:scatterStyle val="line"/>
        <c:varyColors val="0"/>
        <c:ser>
          <c:idx val="3"/>
          <c:order val="3"/>
          <c:tx>
            <c:strRef>
              <c:f>rc_car_stationaryData!$C$1</c:f>
              <c:strCache>
                <c:ptCount val="1"/>
                <c:pt idx="0">
                  <c:v>ax (mg) Angled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rc_car_stationaryData!$A$2:$A$100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rc_car_stationaryData!$C$2:$C$100</c:f>
              <c:numCache>
                <c:formatCode>General</c:formatCode>
                <c:ptCount val="99"/>
                <c:pt idx="0">
                  <c:v>-74</c:v>
                </c:pt>
                <c:pt idx="1">
                  <c:v>-70</c:v>
                </c:pt>
                <c:pt idx="2">
                  <c:v>-74</c:v>
                </c:pt>
                <c:pt idx="3">
                  <c:v>-70</c:v>
                </c:pt>
                <c:pt idx="4">
                  <c:v>-70</c:v>
                </c:pt>
                <c:pt idx="5">
                  <c:v>-74</c:v>
                </c:pt>
                <c:pt idx="6">
                  <c:v>-70</c:v>
                </c:pt>
                <c:pt idx="7">
                  <c:v>-70</c:v>
                </c:pt>
                <c:pt idx="8">
                  <c:v>-66</c:v>
                </c:pt>
                <c:pt idx="9">
                  <c:v>-62</c:v>
                </c:pt>
                <c:pt idx="10">
                  <c:v>-74</c:v>
                </c:pt>
                <c:pt idx="11">
                  <c:v>-70</c:v>
                </c:pt>
                <c:pt idx="12">
                  <c:v>-66</c:v>
                </c:pt>
                <c:pt idx="13">
                  <c:v>-70</c:v>
                </c:pt>
                <c:pt idx="14">
                  <c:v>-66</c:v>
                </c:pt>
                <c:pt idx="15">
                  <c:v>-74</c:v>
                </c:pt>
                <c:pt idx="16">
                  <c:v>-74</c:v>
                </c:pt>
                <c:pt idx="17">
                  <c:v>-66</c:v>
                </c:pt>
                <c:pt idx="18">
                  <c:v>-66</c:v>
                </c:pt>
                <c:pt idx="19">
                  <c:v>-66</c:v>
                </c:pt>
                <c:pt idx="20">
                  <c:v>-70</c:v>
                </c:pt>
                <c:pt idx="21">
                  <c:v>-74</c:v>
                </c:pt>
                <c:pt idx="22">
                  <c:v>-66</c:v>
                </c:pt>
                <c:pt idx="23">
                  <c:v>-66</c:v>
                </c:pt>
                <c:pt idx="24">
                  <c:v>-66</c:v>
                </c:pt>
                <c:pt idx="25">
                  <c:v>-74</c:v>
                </c:pt>
                <c:pt idx="26">
                  <c:v>-78</c:v>
                </c:pt>
                <c:pt idx="27">
                  <c:v>-74</c:v>
                </c:pt>
                <c:pt idx="28">
                  <c:v>-70</c:v>
                </c:pt>
                <c:pt idx="29">
                  <c:v>-66</c:v>
                </c:pt>
                <c:pt idx="30">
                  <c:v>-70</c:v>
                </c:pt>
                <c:pt idx="31">
                  <c:v>-70</c:v>
                </c:pt>
                <c:pt idx="32">
                  <c:v>-70</c:v>
                </c:pt>
                <c:pt idx="33">
                  <c:v>-81</c:v>
                </c:pt>
                <c:pt idx="34">
                  <c:v>-66</c:v>
                </c:pt>
                <c:pt idx="35">
                  <c:v>-74</c:v>
                </c:pt>
                <c:pt idx="36">
                  <c:v>-70</c:v>
                </c:pt>
                <c:pt idx="37">
                  <c:v>-74</c:v>
                </c:pt>
                <c:pt idx="38">
                  <c:v>-58</c:v>
                </c:pt>
                <c:pt idx="39">
                  <c:v>-70</c:v>
                </c:pt>
                <c:pt idx="40">
                  <c:v>-66</c:v>
                </c:pt>
                <c:pt idx="41">
                  <c:v>-70</c:v>
                </c:pt>
                <c:pt idx="42">
                  <c:v>-70</c:v>
                </c:pt>
                <c:pt idx="43">
                  <c:v>-66</c:v>
                </c:pt>
                <c:pt idx="44">
                  <c:v>-66</c:v>
                </c:pt>
                <c:pt idx="45">
                  <c:v>-66</c:v>
                </c:pt>
                <c:pt idx="46">
                  <c:v>-70</c:v>
                </c:pt>
                <c:pt idx="47">
                  <c:v>-70</c:v>
                </c:pt>
                <c:pt idx="48">
                  <c:v>-70</c:v>
                </c:pt>
                <c:pt idx="49">
                  <c:v>-66</c:v>
                </c:pt>
                <c:pt idx="50">
                  <c:v>-62</c:v>
                </c:pt>
                <c:pt idx="51">
                  <c:v>-70</c:v>
                </c:pt>
                <c:pt idx="52">
                  <c:v>-74</c:v>
                </c:pt>
                <c:pt idx="53">
                  <c:v>-70</c:v>
                </c:pt>
                <c:pt idx="54">
                  <c:v>-62</c:v>
                </c:pt>
                <c:pt idx="55">
                  <c:v>-70</c:v>
                </c:pt>
                <c:pt idx="56">
                  <c:v>-70</c:v>
                </c:pt>
                <c:pt idx="57">
                  <c:v>-74</c:v>
                </c:pt>
                <c:pt idx="58">
                  <c:v>-74</c:v>
                </c:pt>
                <c:pt idx="59">
                  <c:v>-74</c:v>
                </c:pt>
                <c:pt idx="60">
                  <c:v>-70</c:v>
                </c:pt>
                <c:pt idx="61">
                  <c:v>-74</c:v>
                </c:pt>
                <c:pt idx="62">
                  <c:v>-70</c:v>
                </c:pt>
                <c:pt idx="63">
                  <c:v>-74</c:v>
                </c:pt>
                <c:pt idx="64">
                  <c:v>-74</c:v>
                </c:pt>
                <c:pt idx="65">
                  <c:v>-62</c:v>
                </c:pt>
                <c:pt idx="66">
                  <c:v>-74</c:v>
                </c:pt>
                <c:pt idx="67">
                  <c:v>-62</c:v>
                </c:pt>
                <c:pt idx="68">
                  <c:v>-70</c:v>
                </c:pt>
                <c:pt idx="69">
                  <c:v>-74</c:v>
                </c:pt>
                <c:pt idx="70">
                  <c:v>-78</c:v>
                </c:pt>
                <c:pt idx="71">
                  <c:v>-62</c:v>
                </c:pt>
                <c:pt idx="72">
                  <c:v>-70</c:v>
                </c:pt>
                <c:pt idx="73">
                  <c:v>-70</c:v>
                </c:pt>
                <c:pt idx="74">
                  <c:v>-74</c:v>
                </c:pt>
                <c:pt idx="75">
                  <c:v>-70</c:v>
                </c:pt>
                <c:pt idx="76">
                  <c:v>-70</c:v>
                </c:pt>
                <c:pt idx="77">
                  <c:v>-66</c:v>
                </c:pt>
                <c:pt idx="78">
                  <c:v>-70</c:v>
                </c:pt>
                <c:pt idx="79">
                  <c:v>-62</c:v>
                </c:pt>
                <c:pt idx="80">
                  <c:v>-70</c:v>
                </c:pt>
                <c:pt idx="81">
                  <c:v>-70</c:v>
                </c:pt>
                <c:pt idx="82">
                  <c:v>-70</c:v>
                </c:pt>
                <c:pt idx="83">
                  <c:v>-78</c:v>
                </c:pt>
                <c:pt idx="84">
                  <c:v>-74</c:v>
                </c:pt>
                <c:pt idx="85">
                  <c:v>-74</c:v>
                </c:pt>
                <c:pt idx="86">
                  <c:v>-66</c:v>
                </c:pt>
                <c:pt idx="87">
                  <c:v>-70</c:v>
                </c:pt>
                <c:pt idx="88">
                  <c:v>-66</c:v>
                </c:pt>
                <c:pt idx="89">
                  <c:v>-66</c:v>
                </c:pt>
                <c:pt idx="90">
                  <c:v>-70</c:v>
                </c:pt>
                <c:pt idx="91">
                  <c:v>-66</c:v>
                </c:pt>
                <c:pt idx="92">
                  <c:v>-74</c:v>
                </c:pt>
                <c:pt idx="93">
                  <c:v>-74</c:v>
                </c:pt>
                <c:pt idx="94">
                  <c:v>-66</c:v>
                </c:pt>
                <c:pt idx="95">
                  <c:v>-70</c:v>
                </c:pt>
                <c:pt idx="96">
                  <c:v>-70</c:v>
                </c:pt>
                <c:pt idx="97">
                  <c:v>-74</c:v>
                </c:pt>
                <c:pt idx="98">
                  <c:v>-74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rc_car_stationaryData!$D$1</c:f>
              <c:strCache>
                <c:ptCount val="1"/>
                <c:pt idx="0">
                  <c:v>ay (mg) Angled</c:v>
                </c:pt>
              </c:strCache>
            </c:strRef>
          </c:tx>
          <c:spPr>
            <a:solidFill>
              <a:srgbClr val="2a6099"/>
            </a:solidFill>
            <a:ln w="28800">
              <a:solidFill>
                <a:srgbClr val="2a6099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rc_car_stationaryData!$A$2:$A$100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rc_car_stationaryData!$D$2:$D$100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</c:v>
                </c:pt>
                <c:pt idx="4">
                  <c:v>7</c:v>
                </c:pt>
                <c:pt idx="5">
                  <c:v>-3</c:v>
                </c:pt>
                <c:pt idx="6">
                  <c:v>0</c:v>
                </c:pt>
                <c:pt idx="7">
                  <c:v>-7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</c:v>
                </c:pt>
                <c:pt idx="13">
                  <c:v>3</c:v>
                </c:pt>
                <c:pt idx="14">
                  <c:v>0</c:v>
                </c:pt>
                <c:pt idx="15">
                  <c:v>7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3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7</c:v>
                </c:pt>
                <c:pt idx="27">
                  <c:v>0</c:v>
                </c:pt>
                <c:pt idx="28">
                  <c:v>-3</c:v>
                </c:pt>
                <c:pt idx="29">
                  <c:v>11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0</c:v>
                </c:pt>
                <c:pt idx="37">
                  <c:v>-11</c:v>
                </c:pt>
                <c:pt idx="38">
                  <c:v>-3</c:v>
                </c:pt>
                <c:pt idx="39">
                  <c:v>0</c:v>
                </c:pt>
                <c:pt idx="40">
                  <c:v>-3</c:v>
                </c:pt>
                <c:pt idx="41">
                  <c:v>3</c:v>
                </c:pt>
                <c:pt idx="42">
                  <c:v>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7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3</c:v>
                </c:pt>
                <c:pt idx="51">
                  <c:v>7</c:v>
                </c:pt>
                <c:pt idx="52">
                  <c:v>0</c:v>
                </c:pt>
                <c:pt idx="53">
                  <c:v>3</c:v>
                </c:pt>
                <c:pt idx="54">
                  <c:v>3</c:v>
                </c:pt>
                <c:pt idx="55">
                  <c:v>7</c:v>
                </c:pt>
                <c:pt idx="56">
                  <c:v>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</c:v>
                </c:pt>
                <c:pt idx="61">
                  <c:v>3</c:v>
                </c:pt>
                <c:pt idx="62">
                  <c:v>0</c:v>
                </c:pt>
                <c:pt idx="63">
                  <c:v>3</c:v>
                </c:pt>
                <c:pt idx="64">
                  <c:v>0</c:v>
                </c:pt>
                <c:pt idx="65">
                  <c:v>3</c:v>
                </c:pt>
                <c:pt idx="66">
                  <c:v>11</c:v>
                </c:pt>
                <c:pt idx="67">
                  <c:v>3</c:v>
                </c:pt>
                <c:pt idx="68">
                  <c:v>0</c:v>
                </c:pt>
                <c:pt idx="69">
                  <c:v>7</c:v>
                </c:pt>
                <c:pt idx="70">
                  <c:v>3</c:v>
                </c:pt>
                <c:pt idx="71">
                  <c:v>0</c:v>
                </c:pt>
                <c:pt idx="72">
                  <c:v>0</c:v>
                </c:pt>
                <c:pt idx="73">
                  <c:v>7</c:v>
                </c:pt>
                <c:pt idx="74">
                  <c:v>0</c:v>
                </c:pt>
                <c:pt idx="75">
                  <c:v>-3</c:v>
                </c:pt>
                <c:pt idx="76">
                  <c:v>-3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0</c:v>
                </c:pt>
                <c:pt idx="85">
                  <c:v>3</c:v>
                </c:pt>
                <c:pt idx="86">
                  <c:v>-3</c:v>
                </c:pt>
                <c:pt idx="87">
                  <c:v>0</c:v>
                </c:pt>
                <c:pt idx="88">
                  <c:v>-3</c:v>
                </c:pt>
                <c:pt idx="89">
                  <c:v>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-3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3</c:v>
                </c:pt>
                <c:pt idx="98">
                  <c:v>19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rc_car_stationaryData!$E$1</c:f>
              <c:strCache>
                <c:ptCount val="1"/>
                <c:pt idx="0">
                  <c:v>az (mg) Angled</c:v>
                </c:pt>
              </c:strCache>
            </c:strRef>
          </c:tx>
          <c:spPr>
            <a:solidFill>
              <a:srgbClr val="00a933"/>
            </a:solidFill>
            <a:ln w="28800">
              <a:solidFill>
                <a:srgbClr val="00a9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rc_car_stationaryData!$A$2:$A$100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rc_car_stationaryData!$E$2:$E$100</c:f>
              <c:numCache>
                <c:formatCode>General</c:formatCode>
                <c:ptCount val="99"/>
                <c:pt idx="0">
                  <c:v>978</c:v>
                </c:pt>
                <c:pt idx="1">
                  <c:v>982</c:v>
                </c:pt>
                <c:pt idx="2">
                  <c:v>986</c:v>
                </c:pt>
                <c:pt idx="3">
                  <c:v>990</c:v>
                </c:pt>
                <c:pt idx="4">
                  <c:v>986</c:v>
                </c:pt>
                <c:pt idx="5">
                  <c:v>978</c:v>
                </c:pt>
                <c:pt idx="6">
                  <c:v>990</c:v>
                </c:pt>
                <c:pt idx="7">
                  <c:v>978</c:v>
                </c:pt>
                <c:pt idx="8">
                  <c:v>975</c:v>
                </c:pt>
                <c:pt idx="9">
                  <c:v>982</c:v>
                </c:pt>
                <c:pt idx="10">
                  <c:v>990</c:v>
                </c:pt>
                <c:pt idx="11">
                  <c:v>986</c:v>
                </c:pt>
                <c:pt idx="12">
                  <c:v>982</c:v>
                </c:pt>
                <c:pt idx="13">
                  <c:v>986</c:v>
                </c:pt>
                <c:pt idx="14">
                  <c:v>978</c:v>
                </c:pt>
                <c:pt idx="15">
                  <c:v>978</c:v>
                </c:pt>
                <c:pt idx="16">
                  <c:v>982</c:v>
                </c:pt>
                <c:pt idx="17">
                  <c:v>982</c:v>
                </c:pt>
                <c:pt idx="18">
                  <c:v>986</c:v>
                </c:pt>
                <c:pt idx="19">
                  <c:v>990</c:v>
                </c:pt>
                <c:pt idx="20">
                  <c:v>982</c:v>
                </c:pt>
                <c:pt idx="21">
                  <c:v>982</c:v>
                </c:pt>
                <c:pt idx="22">
                  <c:v>986</c:v>
                </c:pt>
                <c:pt idx="23">
                  <c:v>990</c:v>
                </c:pt>
                <c:pt idx="24">
                  <c:v>978</c:v>
                </c:pt>
                <c:pt idx="25">
                  <c:v>982</c:v>
                </c:pt>
                <c:pt idx="26">
                  <c:v>978</c:v>
                </c:pt>
                <c:pt idx="27">
                  <c:v>990</c:v>
                </c:pt>
                <c:pt idx="28">
                  <c:v>982</c:v>
                </c:pt>
                <c:pt idx="29">
                  <c:v>998</c:v>
                </c:pt>
                <c:pt idx="30">
                  <c:v>982</c:v>
                </c:pt>
                <c:pt idx="31">
                  <c:v>990</c:v>
                </c:pt>
                <c:pt idx="32">
                  <c:v>982</c:v>
                </c:pt>
                <c:pt idx="33">
                  <c:v>990</c:v>
                </c:pt>
                <c:pt idx="34">
                  <c:v>982</c:v>
                </c:pt>
                <c:pt idx="35">
                  <c:v>986</c:v>
                </c:pt>
                <c:pt idx="36">
                  <c:v>982</c:v>
                </c:pt>
                <c:pt idx="37">
                  <c:v>978</c:v>
                </c:pt>
                <c:pt idx="38">
                  <c:v>963</c:v>
                </c:pt>
                <c:pt idx="39">
                  <c:v>982</c:v>
                </c:pt>
                <c:pt idx="40">
                  <c:v>986</c:v>
                </c:pt>
                <c:pt idx="41">
                  <c:v>978</c:v>
                </c:pt>
                <c:pt idx="42">
                  <c:v>986</c:v>
                </c:pt>
                <c:pt idx="43">
                  <c:v>990</c:v>
                </c:pt>
                <c:pt idx="44">
                  <c:v>975</c:v>
                </c:pt>
                <c:pt idx="45">
                  <c:v>982</c:v>
                </c:pt>
                <c:pt idx="46">
                  <c:v>986</c:v>
                </c:pt>
                <c:pt idx="47">
                  <c:v>982</c:v>
                </c:pt>
                <c:pt idx="48">
                  <c:v>982</c:v>
                </c:pt>
                <c:pt idx="49">
                  <c:v>978</c:v>
                </c:pt>
                <c:pt idx="50">
                  <c:v>982</c:v>
                </c:pt>
                <c:pt idx="51">
                  <c:v>990</c:v>
                </c:pt>
                <c:pt idx="52">
                  <c:v>986</c:v>
                </c:pt>
                <c:pt idx="53">
                  <c:v>982</c:v>
                </c:pt>
                <c:pt idx="54">
                  <c:v>982</c:v>
                </c:pt>
                <c:pt idx="55">
                  <c:v>982</c:v>
                </c:pt>
                <c:pt idx="56">
                  <c:v>986</c:v>
                </c:pt>
                <c:pt idx="57">
                  <c:v>975</c:v>
                </c:pt>
                <c:pt idx="58">
                  <c:v>978</c:v>
                </c:pt>
                <c:pt idx="59">
                  <c:v>978</c:v>
                </c:pt>
                <c:pt idx="60">
                  <c:v>975</c:v>
                </c:pt>
                <c:pt idx="61">
                  <c:v>986</c:v>
                </c:pt>
                <c:pt idx="62">
                  <c:v>978</c:v>
                </c:pt>
                <c:pt idx="63">
                  <c:v>986</c:v>
                </c:pt>
                <c:pt idx="64">
                  <c:v>982</c:v>
                </c:pt>
                <c:pt idx="65">
                  <c:v>978</c:v>
                </c:pt>
                <c:pt idx="66">
                  <c:v>982</c:v>
                </c:pt>
                <c:pt idx="67">
                  <c:v>978</c:v>
                </c:pt>
                <c:pt idx="68">
                  <c:v>978</c:v>
                </c:pt>
                <c:pt idx="69">
                  <c:v>986</c:v>
                </c:pt>
                <c:pt idx="70">
                  <c:v>982</c:v>
                </c:pt>
                <c:pt idx="71">
                  <c:v>975</c:v>
                </c:pt>
                <c:pt idx="72">
                  <c:v>986</c:v>
                </c:pt>
                <c:pt idx="73">
                  <c:v>978</c:v>
                </c:pt>
                <c:pt idx="74">
                  <c:v>986</c:v>
                </c:pt>
                <c:pt idx="75">
                  <c:v>982</c:v>
                </c:pt>
                <c:pt idx="76">
                  <c:v>982</c:v>
                </c:pt>
                <c:pt idx="77">
                  <c:v>986</c:v>
                </c:pt>
                <c:pt idx="78">
                  <c:v>978</c:v>
                </c:pt>
                <c:pt idx="79">
                  <c:v>982</c:v>
                </c:pt>
                <c:pt idx="80">
                  <c:v>982</c:v>
                </c:pt>
                <c:pt idx="81">
                  <c:v>982</c:v>
                </c:pt>
                <c:pt idx="82">
                  <c:v>975</c:v>
                </c:pt>
                <c:pt idx="83">
                  <c:v>975</c:v>
                </c:pt>
                <c:pt idx="84">
                  <c:v>978</c:v>
                </c:pt>
                <c:pt idx="85">
                  <c:v>978</c:v>
                </c:pt>
                <c:pt idx="86">
                  <c:v>994</c:v>
                </c:pt>
                <c:pt idx="87">
                  <c:v>982</c:v>
                </c:pt>
                <c:pt idx="88">
                  <c:v>986</c:v>
                </c:pt>
                <c:pt idx="89">
                  <c:v>982</c:v>
                </c:pt>
                <c:pt idx="90">
                  <c:v>986</c:v>
                </c:pt>
                <c:pt idx="91">
                  <c:v>967</c:v>
                </c:pt>
                <c:pt idx="92">
                  <c:v>982</c:v>
                </c:pt>
                <c:pt idx="93">
                  <c:v>982</c:v>
                </c:pt>
                <c:pt idx="94">
                  <c:v>986</c:v>
                </c:pt>
                <c:pt idx="95">
                  <c:v>986</c:v>
                </c:pt>
                <c:pt idx="96">
                  <c:v>986</c:v>
                </c:pt>
                <c:pt idx="97">
                  <c:v>978</c:v>
                </c:pt>
                <c:pt idx="98">
                  <c:v>994</c:v>
                </c:pt>
              </c:numCache>
            </c:numRef>
          </c:yVal>
          <c:smooth val="1"/>
        </c:ser>
        <c:axId val="25449156"/>
        <c:axId val="82656534"/>
      </c:scatterChart>
      <c:valAx>
        <c:axId val="51531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time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3962959"/>
        <c:crosses val="autoZero"/>
        <c:crossBetween val="between"/>
      </c:valAx>
      <c:valAx>
        <c:axId val="739629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Acceleration for angled [mg]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1531967"/>
        <c:crosses val="autoZero"/>
        <c:crossBetween val="between"/>
      </c:valAx>
      <c:valAx>
        <c:axId val="254491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2656534"/>
        <c:crossBetween val="between"/>
      </c:valAx>
      <c:valAx>
        <c:axId val="8265653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Acceleration for calibrated [mg]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5449156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0271266954184637"/>
          <c:y val="0.903989332148017"/>
          <c:w val="0.775173448340521"/>
          <c:h val="0.088787643071452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Calculated Velocity Angled vs Calibrated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321020063754"/>
          <c:y val="0.164907211912435"/>
          <c:w val="0.706669166822927"/>
          <c:h val="0.675186131792421"/>
        </c:manualLayout>
      </c:layout>
      <c:scatterChart>
        <c:scatterStyle val="line"/>
        <c:varyColors val="0"/>
        <c:ser>
          <c:idx val="0"/>
          <c:order val="0"/>
          <c:tx>
            <c:strRef>
              <c:f>rc_car_stationaryData!$F$1</c:f>
              <c:strCache>
                <c:ptCount val="1"/>
                <c:pt idx="0">
                  <c:v>vx (m/s) Drifted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rc_car_stationaryData!$A$2:$A$100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rc_car_stationaryData!$F$2:$F$100</c:f>
              <c:numCache>
                <c:formatCode>General</c:formatCode>
                <c:ptCount val="99"/>
                <c:pt idx="0">
                  <c:v>0</c:v>
                </c:pt>
                <c:pt idx="1">
                  <c:v>-0.0137339999999997</c:v>
                </c:pt>
                <c:pt idx="2">
                  <c:v>-0.0282528</c:v>
                </c:pt>
                <c:pt idx="3">
                  <c:v>-0.0419867999999998</c:v>
                </c:pt>
                <c:pt idx="4">
                  <c:v>-0.0557208000000001</c:v>
                </c:pt>
                <c:pt idx="5">
                  <c:v>-0.0702395999999998</c:v>
                </c:pt>
                <c:pt idx="6">
                  <c:v>-0.0839736000000001</c:v>
                </c:pt>
                <c:pt idx="7">
                  <c:v>-0.0977075999999998</c:v>
                </c:pt>
                <c:pt idx="8">
                  <c:v>-0.1106568</c:v>
                </c:pt>
                <c:pt idx="9">
                  <c:v>-0.1228212</c:v>
                </c:pt>
                <c:pt idx="10">
                  <c:v>-0.13734</c:v>
                </c:pt>
                <c:pt idx="11">
                  <c:v>-0.151074</c:v>
                </c:pt>
                <c:pt idx="12">
                  <c:v>-0.1640232</c:v>
                </c:pt>
                <c:pt idx="13">
                  <c:v>-0.1777572</c:v>
                </c:pt>
                <c:pt idx="14">
                  <c:v>-0.1907064</c:v>
                </c:pt>
                <c:pt idx="15">
                  <c:v>-0.2052252</c:v>
                </c:pt>
                <c:pt idx="16">
                  <c:v>-0.219744</c:v>
                </c:pt>
                <c:pt idx="17">
                  <c:v>-0.2326932</c:v>
                </c:pt>
                <c:pt idx="18">
                  <c:v>-0.2456424</c:v>
                </c:pt>
                <c:pt idx="19">
                  <c:v>-0.2585916</c:v>
                </c:pt>
                <c:pt idx="20">
                  <c:v>-0.2723256</c:v>
                </c:pt>
                <c:pt idx="21">
                  <c:v>-0.2868444</c:v>
                </c:pt>
                <c:pt idx="22">
                  <c:v>-0.2997936</c:v>
                </c:pt>
                <c:pt idx="23">
                  <c:v>-0.3127428</c:v>
                </c:pt>
                <c:pt idx="24">
                  <c:v>-0.325692</c:v>
                </c:pt>
                <c:pt idx="25">
                  <c:v>-0.3402108</c:v>
                </c:pt>
                <c:pt idx="26">
                  <c:v>-0.3555144</c:v>
                </c:pt>
                <c:pt idx="27">
                  <c:v>-0.3700332</c:v>
                </c:pt>
                <c:pt idx="28">
                  <c:v>-0.3837672</c:v>
                </c:pt>
                <c:pt idx="29">
                  <c:v>-0.3967164</c:v>
                </c:pt>
                <c:pt idx="30">
                  <c:v>-0.4104504</c:v>
                </c:pt>
                <c:pt idx="31">
                  <c:v>-0.4241844</c:v>
                </c:pt>
                <c:pt idx="32">
                  <c:v>-0.4379184</c:v>
                </c:pt>
                <c:pt idx="33">
                  <c:v>-0.4538106</c:v>
                </c:pt>
                <c:pt idx="34">
                  <c:v>-0.4667598</c:v>
                </c:pt>
                <c:pt idx="35">
                  <c:v>-0.4812786</c:v>
                </c:pt>
                <c:pt idx="36">
                  <c:v>-0.4950126</c:v>
                </c:pt>
                <c:pt idx="37">
                  <c:v>-0.5095314</c:v>
                </c:pt>
                <c:pt idx="38">
                  <c:v>-0.520911</c:v>
                </c:pt>
                <c:pt idx="39">
                  <c:v>-0.534645</c:v>
                </c:pt>
                <c:pt idx="40">
                  <c:v>-0.5475942</c:v>
                </c:pt>
                <c:pt idx="41">
                  <c:v>-0.5613282</c:v>
                </c:pt>
                <c:pt idx="42">
                  <c:v>-0.5750622</c:v>
                </c:pt>
                <c:pt idx="43">
                  <c:v>-0.5880114</c:v>
                </c:pt>
                <c:pt idx="44">
                  <c:v>-0.6009606</c:v>
                </c:pt>
                <c:pt idx="45">
                  <c:v>-0.6139098</c:v>
                </c:pt>
                <c:pt idx="46">
                  <c:v>-0.6276438</c:v>
                </c:pt>
                <c:pt idx="47">
                  <c:v>-0.6413778</c:v>
                </c:pt>
                <c:pt idx="48">
                  <c:v>-0.6551118</c:v>
                </c:pt>
                <c:pt idx="49">
                  <c:v>-0.668061</c:v>
                </c:pt>
                <c:pt idx="50">
                  <c:v>-0.6802254</c:v>
                </c:pt>
                <c:pt idx="51">
                  <c:v>-0.6939594</c:v>
                </c:pt>
                <c:pt idx="52">
                  <c:v>-0.7084782</c:v>
                </c:pt>
                <c:pt idx="53">
                  <c:v>-0.7222122</c:v>
                </c:pt>
                <c:pt idx="54">
                  <c:v>-0.7343766</c:v>
                </c:pt>
                <c:pt idx="55">
                  <c:v>-0.7481106</c:v>
                </c:pt>
                <c:pt idx="56">
                  <c:v>-0.7618446</c:v>
                </c:pt>
                <c:pt idx="57">
                  <c:v>-0.7763634</c:v>
                </c:pt>
                <c:pt idx="58">
                  <c:v>-0.7908822</c:v>
                </c:pt>
                <c:pt idx="59">
                  <c:v>-0.805401</c:v>
                </c:pt>
                <c:pt idx="60">
                  <c:v>-0.819135000000001</c:v>
                </c:pt>
                <c:pt idx="61">
                  <c:v>-0.8336538</c:v>
                </c:pt>
                <c:pt idx="62">
                  <c:v>-0.847387800000001</c:v>
                </c:pt>
                <c:pt idx="63">
                  <c:v>-0.8619066</c:v>
                </c:pt>
                <c:pt idx="64">
                  <c:v>-0.876425400000001</c:v>
                </c:pt>
                <c:pt idx="65">
                  <c:v>-0.8885898</c:v>
                </c:pt>
                <c:pt idx="66">
                  <c:v>-0.903108600000001</c:v>
                </c:pt>
                <c:pt idx="67">
                  <c:v>-0.915273000000001</c:v>
                </c:pt>
                <c:pt idx="68">
                  <c:v>-0.929007000000001</c:v>
                </c:pt>
                <c:pt idx="69">
                  <c:v>-0.943525800000001</c:v>
                </c:pt>
                <c:pt idx="70">
                  <c:v>-0.958829400000001</c:v>
                </c:pt>
                <c:pt idx="71">
                  <c:v>-0.970993800000001</c:v>
                </c:pt>
                <c:pt idx="72">
                  <c:v>-0.984727800000001</c:v>
                </c:pt>
                <c:pt idx="73">
                  <c:v>-0.998461800000001</c:v>
                </c:pt>
                <c:pt idx="74">
                  <c:v>-1.0129806</c:v>
                </c:pt>
                <c:pt idx="75">
                  <c:v>-1.0267146</c:v>
                </c:pt>
                <c:pt idx="76">
                  <c:v>-1.0404486</c:v>
                </c:pt>
                <c:pt idx="77">
                  <c:v>-1.0533978</c:v>
                </c:pt>
                <c:pt idx="78">
                  <c:v>-1.0671318</c:v>
                </c:pt>
                <c:pt idx="79">
                  <c:v>-1.0792962</c:v>
                </c:pt>
                <c:pt idx="80">
                  <c:v>-1.0930302</c:v>
                </c:pt>
                <c:pt idx="81">
                  <c:v>-1.1067642</c:v>
                </c:pt>
                <c:pt idx="82">
                  <c:v>-1.1204982</c:v>
                </c:pt>
                <c:pt idx="83">
                  <c:v>-1.1358018</c:v>
                </c:pt>
                <c:pt idx="84">
                  <c:v>-1.1503206</c:v>
                </c:pt>
                <c:pt idx="85">
                  <c:v>-1.1648394</c:v>
                </c:pt>
                <c:pt idx="86">
                  <c:v>-1.1777886</c:v>
                </c:pt>
                <c:pt idx="87">
                  <c:v>-1.1915226</c:v>
                </c:pt>
                <c:pt idx="88">
                  <c:v>-1.2044718</c:v>
                </c:pt>
                <c:pt idx="89">
                  <c:v>-1.217421</c:v>
                </c:pt>
                <c:pt idx="90">
                  <c:v>-1.231155</c:v>
                </c:pt>
                <c:pt idx="91">
                  <c:v>-1.2441042</c:v>
                </c:pt>
                <c:pt idx="92">
                  <c:v>-1.258623</c:v>
                </c:pt>
                <c:pt idx="93">
                  <c:v>-1.2731418</c:v>
                </c:pt>
                <c:pt idx="94">
                  <c:v>-1.286091</c:v>
                </c:pt>
                <c:pt idx="95">
                  <c:v>-1.299825</c:v>
                </c:pt>
                <c:pt idx="96">
                  <c:v>-1.313559</c:v>
                </c:pt>
                <c:pt idx="97">
                  <c:v>-1.3280778</c:v>
                </c:pt>
                <c:pt idx="98">
                  <c:v>-1.3425966</c:v>
                </c:pt>
              </c:numCache>
            </c:numRef>
          </c:yVal>
          <c:smooth val="0"/>
        </c:ser>
        <c:axId val="72155775"/>
        <c:axId val="90098137"/>
      </c:scatterChart>
      <c:scatterChart>
        <c:scatterStyle val="line"/>
        <c:varyColors val="0"/>
        <c:ser>
          <c:idx val="1"/>
          <c:order val="1"/>
          <c:tx>
            <c:strRef>
              <c:f>rc_car_stationaryData!$Q$1</c:f>
              <c:strCache>
                <c:ptCount val="1"/>
                <c:pt idx="0">
                  <c:v>vx (m/s) After Calibration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rc_car_stationaryData!$M$2:$M$100</c:f>
              <c:numCache>
                <c:formatCode>General</c:formatCode>
                <c:ptCount val="99"/>
                <c:pt idx="0">
                  <c:v>4.54</c:v>
                </c:pt>
                <c:pt idx="1">
                  <c:v>4.56</c:v>
                </c:pt>
                <c:pt idx="2">
                  <c:v>4.58</c:v>
                </c:pt>
                <c:pt idx="3">
                  <c:v>4.6</c:v>
                </c:pt>
                <c:pt idx="4">
                  <c:v>4.62</c:v>
                </c:pt>
                <c:pt idx="5">
                  <c:v>4.64</c:v>
                </c:pt>
                <c:pt idx="6">
                  <c:v>4.66</c:v>
                </c:pt>
                <c:pt idx="7">
                  <c:v>4.68</c:v>
                </c:pt>
                <c:pt idx="8">
                  <c:v>4.7</c:v>
                </c:pt>
                <c:pt idx="9">
                  <c:v>4.72</c:v>
                </c:pt>
                <c:pt idx="10">
                  <c:v>4.74</c:v>
                </c:pt>
                <c:pt idx="11">
                  <c:v>4.76</c:v>
                </c:pt>
                <c:pt idx="12">
                  <c:v>4.78</c:v>
                </c:pt>
                <c:pt idx="13">
                  <c:v>4.8</c:v>
                </c:pt>
                <c:pt idx="14">
                  <c:v>4.82</c:v>
                </c:pt>
                <c:pt idx="15">
                  <c:v>4.84</c:v>
                </c:pt>
                <c:pt idx="16">
                  <c:v>4.86</c:v>
                </c:pt>
                <c:pt idx="17">
                  <c:v>4.88</c:v>
                </c:pt>
                <c:pt idx="18">
                  <c:v>4.9</c:v>
                </c:pt>
                <c:pt idx="19">
                  <c:v>4.92</c:v>
                </c:pt>
                <c:pt idx="20">
                  <c:v>4.94</c:v>
                </c:pt>
                <c:pt idx="21">
                  <c:v>4.96</c:v>
                </c:pt>
                <c:pt idx="22">
                  <c:v>4.98</c:v>
                </c:pt>
                <c:pt idx="23">
                  <c:v>5</c:v>
                </c:pt>
                <c:pt idx="24">
                  <c:v>5.02</c:v>
                </c:pt>
                <c:pt idx="25">
                  <c:v>5.04</c:v>
                </c:pt>
                <c:pt idx="26">
                  <c:v>5.06</c:v>
                </c:pt>
                <c:pt idx="27">
                  <c:v>5.08</c:v>
                </c:pt>
                <c:pt idx="28">
                  <c:v>5.1</c:v>
                </c:pt>
                <c:pt idx="29">
                  <c:v>5.12</c:v>
                </c:pt>
                <c:pt idx="30">
                  <c:v>5.14</c:v>
                </c:pt>
                <c:pt idx="31">
                  <c:v>5.16</c:v>
                </c:pt>
                <c:pt idx="32">
                  <c:v>5.18</c:v>
                </c:pt>
                <c:pt idx="33">
                  <c:v>5.2</c:v>
                </c:pt>
                <c:pt idx="34">
                  <c:v>5.22</c:v>
                </c:pt>
                <c:pt idx="35">
                  <c:v>5.24</c:v>
                </c:pt>
                <c:pt idx="36">
                  <c:v>5.26</c:v>
                </c:pt>
                <c:pt idx="37">
                  <c:v>5.28</c:v>
                </c:pt>
                <c:pt idx="38">
                  <c:v>5.3</c:v>
                </c:pt>
                <c:pt idx="39">
                  <c:v>5.32</c:v>
                </c:pt>
                <c:pt idx="40">
                  <c:v>5.34</c:v>
                </c:pt>
                <c:pt idx="41">
                  <c:v>5.36</c:v>
                </c:pt>
                <c:pt idx="42">
                  <c:v>5.38</c:v>
                </c:pt>
                <c:pt idx="43">
                  <c:v>5.4</c:v>
                </c:pt>
                <c:pt idx="44">
                  <c:v>5.42</c:v>
                </c:pt>
                <c:pt idx="45">
                  <c:v>5.44</c:v>
                </c:pt>
                <c:pt idx="46">
                  <c:v>5.46</c:v>
                </c:pt>
                <c:pt idx="47">
                  <c:v>5.48</c:v>
                </c:pt>
                <c:pt idx="48">
                  <c:v>5.5</c:v>
                </c:pt>
                <c:pt idx="49">
                  <c:v>5.52</c:v>
                </c:pt>
                <c:pt idx="50">
                  <c:v>5.54</c:v>
                </c:pt>
                <c:pt idx="51">
                  <c:v>5.56</c:v>
                </c:pt>
                <c:pt idx="52">
                  <c:v>5.58</c:v>
                </c:pt>
                <c:pt idx="53">
                  <c:v>5.6</c:v>
                </c:pt>
                <c:pt idx="54">
                  <c:v>5.62</c:v>
                </c:pt>
                <c:pt idx="55">
                  <c:v>5.64</c:v>
                </c:pt>
                <c:pt idx="56">
                  <c:v>5.66</c:v>
                </c:pt>
                <c:pt idx="57">
                  <c:v>5.68</c:v>
                </c:pt>
                <c:pt idx="58">
                  <c:v>5.7</c:v>
                </c:pt>
                <c:pt idx="59">
                  <c:v>5.72</c:v>
                </c:pt>
                <c:pt idx="60">
                  <c:v>5.74</c:v>
                </c:pt>
                <c:pt idx="61">
                  <c:v>5.76</c:v>
                </c:pt>
                <c:pt idx="62">
                  <c:v>5.78</c:v>
                </c:pt>
                <c:pt idx="63">
                  <c:v>5.8</c:v>
                </c:pt>
                <c:pt idx="64">
                  <c:v>5.82</c:v>
                </c:pt>
                <c:pt idx="65">
                  <c:v>5.84</c:v>
                </c:pt>
                <c:pt idx="66">
                  <c:v>5.86</c:v>
                </c:pt>
                <c:pt idx="67">
                  <c:v>5.88</c:v>
                </c:pt>
                <c:pt idx="68">
                  <c:v>5.9</c:v>
                </c:pt>
                <c:pt idx="69">
                  <c:v>5.92</c:v>
                </c:pt>
                <c:pt idx="70">
                  <c:v>5.94</c:v>
                </c:pt>
                <c:pt idx="71">
                  <c:v>5.96</c:v>
                </c:pt>
                <c:pt idx="72">
                  <c:v>5.98</c:v>
                </c:pt>
                <c:pt idx="73">
                  <c:v>6</c:v>
                </c:pt>
                <c:pt idx="74">
                  <c:v>6.02</c:v>
                </c:pt>
                <c:pt idx="75">
                  <c:v>6.04</c:v>
                </c:pt>
                <c:pt idx="76">
                  <c:v>6.06</c:v>
                </c:pt>
                <c:pt idx="77">
                  <c:v>6.08</c:v>
                </c:pt>
                <c:pt idx="78">
                  <c:v>6.1</c:v>
                </c:pt>
                <c:pt idx="79">
                  <c:v>6.12</c:v>
                </c:pt>
                <c:pt idx="80">
                  <c:v>6.14</c:v>
                </c:pt>
                <c:pt idx="81">
                  <c:v>6.16</c:v>
                </c:pt>
                <c:pt idx="82">
                  <c:v>6.18</c:v>
                </c:pt>
                <c:pt idx="83">
                  <c:v>6.2</c:v>
                </c:pt>
                <c:pt idx="84">
                  <c:v>6.22</c:v>
                </c:pt>
                <c:pt idx="85">
                  <c:v>6.24</c:v>
                </c:pt>
                <c:pt idx="86">
                  <c:v>6.26</c:v>
                </c:pt>
                <c:pt idx="87">
                  <c:v>6.28</c:v>
                </c:pt>
                <c:pt idx="88">
                  <c:v>6.3</c:v>
                </c:pt>
                <c:pt idx="89">
                  <c:v>6.32</c:v>
                </c:pt>
                <c:pt idx="90">
                  <c:v>6.34</c:v>
                </c:pt>
                <c:pt idx="91">
                  <c:v>6.36</c:v>
                </c:pt>
                <c:pt idx="92">
                  <c:v>6.38</c:v>
                </c:pt>
                <c:pt idx="93">
                  <c:v>6.4</c:v>
                </c:pt>
                <c:pt idx="94">
                  <c:v>6.42</c:v>
                </c:pt>
                <c:pt idx="95">
                  <c:v>6.44</c:v>
                </c:pt>
                <c:pt idx="96">
                  <c:v>6.46</c:v>
                </c:pt>
                <c:pt idx="97">
                  <c:v>6.48</c:v>
                </c:pt>
                <c:pt idx="98">
                  <c:v>6.5</c:v>
                </c:pt>
              </c:numCache>
            </c:numRef>
          </c:xVal>
          <c:yVal>
            <c:numRef>
              <c:f>rc_car_stationaryData!$Q$2:$Q$99</c:f>
              <c:numCache>
                <c:formatCode>General</c:formatCode>
                <c:ptCount val="98"/>
                <c:pt idx="0">
                  <c:v>0</c:v>
                </c:pt>
                <c:pt idx="1">
                  <c:v>-0.00081056363636362</c:v>
                </c:pt>
                <c:pt idx="2">
                  <c:v>-0.000836327272727258</c:v>
                </c:pt>
                <c:pt idx="3">
                  <c:v>-0.00164689090909088</c:v>
                </c:pt>
                <c:pt idx="4">
                  <c:v>-0.00167265454545452</c:v>
                </c:pt>
                <c:pt idx="5">
                  <c:v>-0.00169841818181815</c:v>
                </c:pt>
                <c:pt idx="6">
                  <c:v>-0.00250898181818181</c:v>
                </c:pt>
                <c:pt idx="7">
                  <c:v>-0.00253474545454544</c:v>
                </c:pt>
                <c:pt idx="8">
                  <c:v>-0.00256050909090908</c:v>
                </c:pt>
                <c:pt idx="9">
                  <c:v>-0.00180147272727274</c:v>
                </c:pt>
                <c:pt idx="10">
                  <c:v>-0.000257636363636336</c:v>
                </c:pt>
                <c:pt idx="11">
                  <c:v>-0.00106819999999996</c:v>
                </c:pt>
                <c:pt idx="12">
                  <c:v>-0.00109396363636359</c:v>
                </c:pt>
                <c:pt idx="13">
                  <c:v>-0.000334927272727247</c:v>
                </c:pt>
                <c:pt idx="14">
                  <c:v>-0.000360690909090885</c:v>
                </c:pt>
                <c:pt idx="15">
                  <c:v>0.000398345454545462</c:v>
                </c:pt>
                <c:pt idx="16">
                  <c:v>-0.000412218181818194</c:v>
                </c:pt>
                <c:pt idx="17">
                  <c:v>-0.00122278181818181</c:v>
                </c:pt>
                <c:pt idx="18">
                  <c:v>-0.000463745454545433</c:v>
                </c:pt>
                <c:pt idx="19">
                  <c:v>0.000295290909090913</c:v>
                </c:pt>
                <c:pt idx="20">
                  <c:v>0.00105432727272729</c:v>
                </c:pt>
                <c:pt idx="21">
                  <c:v>0.00102856363636366</c:v>
                </c:pt>
                <c:pt idx="22">
                  <c:v>0.000218000000000002</c:v>
                </c:pt>
                <c:pt idx="23">
                  <c:v>0.000977036363636348</c:v>
                </c:pt>
                <c:pt idx="24">
                  <c:v>0.0017360727272727</c:v>
                </c:pt>
                <c:pt idx="25">
                  <c:v>0.00249510909090908</c:v>
                </c:pt>
                <c:pt idx="26">
                  <c:v>0.00168454545454546</c:v>
                </c:pt>
                <c:pt idx="27">
                  <c:v>8.91818181817815E-005</c:v>
                </c:pt>
                <c:pt idx="28">
                  <c:v>-0.000721381818181839</c:v>
                </c:pt>
                <c:pt idx="29">
                  <c:v>-0.000747145454545476</c:v>
                </c:pt>
                <c:pt idx="30">
                  <c:v>1.18909090908706E-005</c:v>
                </c:pt>
                <c:pt idx="31">
                  <c:v>-1.38727272727671E-005</c:v>
                </c:pt>
                <c:pt idx="32">
                  <c:v>-3.96363636364037E-005</c:v>
                </c:pt>
                <c:pt idx="33">
                  <c:v>-6.54000000000413E-005</c:v>
                </c:pt>
                <c:pt idx="34">
                  <c:v>-0.00224936363636363</c:v>
                </c:pt>
                <c:pt idx="35">
                  <c:v>-0.00149032727272725</c:v>
                </c:pt>
                <c:pt idx="36">
                  <c:v>-0.00230089090909087</c:v>
                </c:pt>
                <c:pt idx="37">
                  <c:v>-0.00232665454545451</c:v>
                </c:pt>
                <c:pt idx="38">
                  <c:v>-0.00313721818181813</c:v>
                </c:pt>
                <c:pt idx="39">
                  <c:v>-0.000808581818181713</c:v>
                </c:pt>
                <c:pt idx="40">
                  <c:v>-0.00083434545454535</c:v>
                </c:pt>
                <c:pt idx="41">
                  <c:v>-7.5309090908969E-005</c:v>
                </c:pt>
                <c:pt idx="42">
                  <c:v>-0.000101072727272606</c:v>
                </c:pt>
                <c:pt idx="43">
                  <c:v>-0.000126836363636243</c:v>
                </c:pt>
                <c:pt idx="44">
                  <c:v>0.000632200000000104</c:v>
                </c:pt>
                <c:pt idx="45">
                  <c:v>0.00139123636363648</c:v>
                </c:pt>
                <c:pt idx="46">
                  <c:v>0.00215027272727283</c:v>
                </c:pt>
                <c:pt idx="47">
                  <c:v>0.00212450909090919</c:v>
                </c:pt>
                <c:pt idx="48">
                  <c:v>0.00209874545454556</c:v>
                </c:pt>
                <c:pt idx="49">
                  <c:v>0.00207298181818192</c:v>
                </c:pt>
                <c:pt idx="50">
                  <c:v>0.0028320181818183</c:v>
                </c:pt>
                <c:pt idx="51">
                  <c:v>0.00437585454545463</c:v>
                </c:pt>
                <c:pt idx="52">
                  <c:v>0.00435009090909099</c:v>
                </c:pt>
                <c:pt idx="53">
                  <c:v>0.00353952727272737</c:v>
                </c:pt>
                <c:pt idx="54">
                  <c:v>0.00351376363636373</c:v>
                </c:pt>
                <c:pt idx="55">
                  <c:v>0.00505760000000006</c:v>
                </c:pt>
                <c:pt idx="56">
                  <c:v>0.00503183636363643</c:v>
                </c:pt>
                <c:pt idx="57">
                  <c:v>0.00500607272727279</c:v>
                </c:pt>
                <c:pt idx="58">
                  <c:v>0.00419550909090913</c:v>
                </c:pt>
                <c:pt idx="59">
                  <c:v>0.00338494545454551</c:v>
                </c:pt>
                <c:pt idx="60">
                  <c:v>0.00257438181818186</c:v>
                </c:pt>
                <c:pt idx="61">
                  <c:v>0.00254861818181822</c:v>
                </c:pt>
                <c:pt idx="62">
                  <c:v>0.00173805454545457</c:v>
                </c:pt>
                <c:pt idx="63">
                  <c:v>0.00171229090909093</c:v>
                </c:pt>
                <c:pt idx="64">
                  <c:v>0.000901727272727273</c:v>
                </c:pt>
                <c:pt idx="65">
                  <c:v>9.11636363636525E-005</c:v>
                </c:pt>
                <c:pt idx="66">
                  <c:v>0.00163500000000005</c:v>
                </c:pt>
                <c:pt idx="67">
                  <c:v>0.000824436363636431</c:v>
                </c:pt>
                <c:pt idx="68">
                  <c:v>0.00236827272727283</c:v>
                </c:pt>
                <c:pt idx="69">
                  <c:v>0.00234250909090919</c:v>
                </c:pt>
                <c:pt idx="70">
                  <c:v>0.00153194545454554</c:v>
                </c:pt>
                <c:pt idx="71">
                  <c:v>-6.34181818180656E-005</c:v>
                </c:pt>
                <c:pt idx="72">
                  <c:v>0.00148041818181833</c:v>
                </c:pt>
                <c:pt idx="73">
                  <c:v>0.0014546545454547</c:v>
                </c:pt>
                <c:pt idx="74">
                  <c:v>0.00142889090909106</c:v>
                </c:pt>
                <c:pt idx="75">
                  <c:v>0.000618327272727404</c:v>
                </c:pt>
                <c:pt idx="76">
                  <c:v>0.000592563636363768</c:v>
                </c:pt>
                <c:pt idx="77">
                  <c:v>0.00056680000000013</c:v>
                </c:pt>
                <c:pt idx="78">
                  <c:v>0.00132583636363648</c:v>
                </c:pt>
                <c:pt idx="79">
                  <c:v>0.00130007272727284</c:v>
                </c:pt>
                <c:pt idx="80">
                  <c:v>0.00284390909090917</c:v>
                </c:pt>
                <c:pt idx="81">
                  <c:v>0.00281814545454553</c:v>
                </c:pt>
                <c:pt idx="82">
                  <c:v>0.0027923818181819</c:v>
                </c:pt>
                <c:pt idx="83">
                  <c:v>0.00276661818181826</c:v>
                </c:pt>
                <c:pt idx="84">
                  <c:v>0.00117125454545465</c:v>
                </c:pt>
                <c:pt idx="85">
                  <c:v>0.000360690909090998</c:v>
                </c:pt>
                <c:pt idx="86">
                  <c:v>-0.000449872727272622</c:v>
                </c:pt>
                <c:pt idx="87">
                  <c:v>0.000309163636363759</c:v>
                </c:pt>
                <c:pt idx="88">
                  <c:v>0.000283400000000122</c:v>
                </c:pt>
                <c:pt idx="89">
                  <c:v>0.0010424363636365</c:v>
                </c:pt>
                <c:pt idx="90">
                  <c:v>0.00180147272727285</c:v>
                </c:pt>
                <c:pt idx="91">
                  <c:v>0.00177570909090921</c:v>
                </c:pt>
                <c:pt idx="92">
                  <c:v>0.00253474545454556</c:v>
                </c:pt>
                <c:pt idx="93">
                  <c:v>0.0017241818181819</c:v>
                </c:pt>
                <c:pt idx="94">
                  <c:v>0.000913618181818283</c:v>
                </c:pt>
                <c:pt idx="95">
                  <c:v>0.00167265454545466</c:v>
                </c:pt>
                <c:pt idx="96">
                  <c:v>0.00164689090909103</c:v>
                </c:pt>
                <c:pt idx="97">
                  <c:v>0.00162112727272739</c:v>
                </c:pt>
              </c:numCache>
            </c:numRef>
          </c:yVal>
          <c:smooth val="0"/>
        </c:ser>
        <c:axId val="47444033"/>
        <c:axId val="85724819"/>
      </c:scatterChart>
      <c:valAx>
        <c:axId val="72155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time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0098137"/>
        <c:crosses val="autoZero"/>
        <c:crossBetween val="between"/>
      </c:valAx>
      <c:valAx>
        <c:axId val="90098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velocity angled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155775"/>
        <c:crosses val="autoZero"/>
        <c:crossBetween val="between"/>
      </c:valAx>
      <c:valAx>
        <c:axId val="4744403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5724819"/>
        <c:crossBetween val="between"/>
      </c:valAx>
      <c:valAx>
        <c:axId val="8572481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velocity calibrated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7444033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155884742796425"/>
          <c:y val="0.929769974441605"/>
          <c:w val="0.776236014750922"/>
          <c:h val="0.048338704300477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8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530640</xdr:colOff>
      <xdr:row>20</xdr:row>
      <xdr:rowOff>79560</xdr:rowOff>
    </xdr:from>
    <xdr:to>
      <xdr:col>12</xdr:col>
      <xdr:colOff>314280</xdr:colOff>
      <xdr:row>40</xdr:row>
      <xdr:rowOff>68040</xdr:rowOff>
    </xdr:to>
    <xdr:graphicFrame>
      <xdr:nvGraphicFramePr>
        <xdr:cNvPr id="0" name=""/>
        <xdr:cNvGraphicFramePr/>
      </xdr:nvGraphicFramePr>
      <xdr:xfrm>
        <a:off x="6619680" y="3330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498600</xdr:colOff>
      <xdr:row>39</xdr:row>
      <xdr:rowOff>68400</xdr:rowOff>
    </xdr:from>
    <xdr:to>
      <xdr:col>12</xdr:col>
      <xdr:colOff>282240</xdr:colOff>
      <xdr:row>59</xdr:row>
      <xdr:rowOff>56880</xdr:rowOff>
    </xdr:to>
    <xdr:graphicFrame>
      <xdr:nvGraphicFramePr>
        <xdr:cNvPr id="1" name=""/>
        <xdr:cNvGraphicFramePr/>
      </xdr:nvGraphicFramePr>
      <xdr:xfrm>
        <a:off x="6587640" y="6408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11" activeCellId="0" sqref="H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64"/>
    <col collapsed="false" customWidth="true" hidden="false" outlineLevel="0" max="2" min="2" style="1" width="14.16"/>
    <col collapsed="false" customWidth="true" hidden="false" outlineLevel="0" max="3" min="3" style="1" width="14.1"/>
    <col collapsed="false" customWidth="true" hidden="false" outlineLevel="0" max="4" min="4" style="1" width="14.36"/>
    <col collapsed="false" customWidth="true" hidden="false" outlineLevel="0" max="5" min="5" style="1" width="19.59"/>
    <col collapsed="false" customWidth="false" hidden="false" outlineLevel="0" max="10" min="6" style="1" width="11.53"/>
    <col collapsed="false" customWidth="true" hidden="false" outlineLevel="0" max="11" min="11" style="1" width="27.13"/>
    <col collapsed="false" customWidth="false" hidden="false" outlineLevel="0" max="12" min="12" style="1" width="11.53"/>
    <col collapsed="false" customWidth="true" hidden="false" outlineLevel="0" max="13" min="13" style="1" width="17.17"/>
    <col collapsed="false" customWidth="true" hidden="false" outlineLevel="0" max="15" min="14" style="1" width="17.84"/>
    <col collapsed="false" customWidth="false" hidden="false" outlineLevel="0" max="16383" min="1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M1" s="1" t="s">
        <v>0</v>
      </c>
      <c r="N1" s="1" t="s">
        <v>6</v>
      </c>
      <c r="O1" s="1" t="s">
        <v>7</v>
      </c>
      <c r="P1" s="1" t="s">
        <v>8</v>
      </c>
      <c r="Q1" s="1" t="s">
        <v>9</v>
      </c>
    </row>
    <row r="2" customFormat="false" ht="12.8" hidden="false" customHeight="false" outlineLevel="0" collapsed="false">
      <c r="A2" s="1" t="n">
        <v>4.54</v>
      </c>
      <c r="B2" s="1" t="n">
        <v>345</v>
      </c>
      <c r="C2" s="1" t="n">
        <v>-74</v>
      </c>
      <c r="D2" s="1" t="n">
        <v>0</v>
      </c>
      <c r="E2" s="1" t="n">
        <v>978</v>
      </c>
      <c r="F2" s="1" t="n">
        <v>0</v>
      </c>
      <c r="I2" s="1" t="s">
        <v>10</v>
      </c>
      <c r="J2" s="1" t="s">
        <v>11</v>
      </c>
      <c r="K2" s="1" t="s">
        <v>12</v>
      </c>
      <c r="M2" s="1" t="n">
        <v>4.54</v>
      </c>
      <c r="N2" s="1" t="n">
        <f aca="false">C2-$I$3</f>
        <v>-4.13131313131314</v>
      </c>
      <c r="O2" s="1" t="n">
        <f aca="false">D2-$J$3</f>
        <v>-1.4949494949495</v>
      </c>
      <c r="P2" s="1" t="n">
        <f aca="false">E2-$K$3</f>
        <v>-4.4545454545455</v>
      </c>
      <c r="Q2" s="1" t="n">
        <v>0</v>
      </c>
    </row>
    <row r="3" customFormat="false" ht="12.8" hidden="false" customHeight="false" outlineLevel="0" collapsed="false">
      <c r="A3" s="1" t="n">
        <v>4.56</v>
      </c>
      <c r="B3" s="1" t="n">
        <v>345</v>
      </c>
      <c r="C3" s="1" t="n">
        <v>-70</v>
      </c>
      <c r="D3" s="1" t="n">
        <v>0</v>
      </c>
      <c r="E3" s="1" t="n">
        <v>982</v>
      </c>
      <c r="F3" s="1" t="n">
        <v>-0.0137339999999997</v>
      </c>
      <c r="H3" s="1" t="s">
        <v>13</v>
      </c>
      <c r="I3" s="2" t="n">
        <f aca="false">AVERAGE(C2:C100)</f>
        <v>-69.8686868686869</v>
      </c>
      <c r="J3" s="2" t="n">
        <f aca="false">AVERAGE(D2:D100)</f>
        <v>1.4949494949495</v>
      </c>
      <c r="K3" s="2" t="n">
        <f aca="false">AVERAGE(E2:E100)</f>
        <v>982.454545454546</v>
      </c>
      <c r="M3" s="1" t="n">
        <v>4.56</v>
      </c>
      <c r="N3" s="1" t="n">
        <f aca="false">C3-$I$3</f>
        <v>-0.131313131313135</v>
      </c>
      <c r="O3" s="1" t="n">
        <f aca="false">D3-$J$3</f>
        <v>-1.4949494949495</v>
      </c>
      <c r="P3" s="1" t="n">
        <f aca="false">E3-$K$3</f>
        <v>-0.454545454545496</v>
      </c>
      <c r="Q3" s="1" t="n">
        <f aca="false">Q2+N2*0.001*9.81*(M3-M2)</f>
        <v>-0.00081056363636362</v>
      </c>
    </row>
    <row r="4" customFormat="false" ht="12.8" hidden="false" customHeight="false" outlineLevel="0" collapsed="false">
      <c r="A4" s="1" t="n">
        <v>4.58</v>
      </c>
      <c r="B4" s="1" t="n">
        <v>344</v>
      </c>
      <c r="C4" s="1" t="n">
        <v>-74</v>
      </c>
      <c r="D4" s="1" t="n">
        <v>0</v>
      </c>
      <c r="E4" s="1" t="n">
        <v>986</v>
      </c>
      <c r="F4" s="1" t="n">
        <v>-0.0282528</v>
      </c>
      <c r="H4" s="1" t="s">
        <v>14</v>
      </c>
      <c r="I4" s="2" t="n">
        <f aca="false">_xlfn.STDEV.S(C2:C100)</f>
        <v>4.14937040871304</v>
      </c>
      <c r="J4" s="2" t="n">
        <f aca="false">_xlfn.STDEV.S(D2:D100)</f>
        <v>3.86605778585185</v>
      </c>
      <c r="K4" s="2" t="n">
        <f aca="false">_xlfn.STDEV.S(E2:E100)</f>
        <v>5.34192644161324</v>
      </c>
      <c r="M4" s="1" t="n">
        <v>4.58</v>
      </c>
      <c r="N4" s="1" t="n">
        <f aca="false">C4-$I$3</f>
        <v>-4.13131313131314</v>
      </c>
      <c r="O4" s="1" t="n">
        <f aca="false">D4-$J$3</f>
        <v>-1.4949494949495</v>
      </c>
      <c r="P4" s="1" t="n">
        <f aca="false">E4-$K$3</f>
        <v>3.5454545454545</v>
      </c>
      <c r="Q4" s="1" t="n">
        <f aca="false">Q3+N3*0.001*9.81*(M4-M3)</f>
        <v>-0.000836327272727258</v>
      </c>
    </row>
    <row r="5" customFormat="false" ht="12.8" hidden="false" customHeight="false" outlineLevel="0" collapsed="false">
      <c r="A5" s="1" t="n">
        <v>4.6</v>
      </c>
      <c r="B5" s="1" t="n">
        <v>345</v>
      </c>
      <c r="C5" s="1" t="n">
        <v>-70</v>
      </c>
      <c r="D5" s="1" t="n">
        <v>-3</v>
      </c>
      <c r="E5" s="1" t="n">
        <v>990</v>
      </c>
      <c r="F5" s="1" t="n">
        <v>-0.0419867999999998</v>
      </c>
      <c r="M5" s="1" t="n">
        <v>4.6</v>
      </c>
      <c r="N5" s="1" t="n">
        <f aca="false">C5-$I$3</f>
        <v>-0.131313131313135</v>
      </c>
      <c r="O5" s="1" t="n">
        <f aca="false">D5-$J$3</f>
        <v>-4.4949494949495</v>
      </c>
      <c r="P5" s="1" t="n">
        <f aca="false">E5-$K$3</f>
        <v>7.5454545454545</v>
      </c>
      <c r="Q5" s="1" t="n">
        <f aca="false">Q4+N4*0.001*9.81*(M5-M4)</f>
        <v>-0.00164689090909088</v>
      </c>
    </row>
    <row r="6" customFormat="false" ht="12.8" hidden="false" customHeight="false" outlineLevel="0" collapsed="false">
      <c r="A6" s="1" t="n">
        <v>4.62</v>
      </c>
      <c r="B6" s="1" t="n">
        <v>344</v>
      </c>
      <c r="C6" s="1" t="n">
        <v>-70</v>
      </c>
      <c r="D6" s="1" t="n">
        <v>7</v>
      </c>
      <c r="E6" s="1" t="n">
        <v>986</v>
      </c>
      <c r="F6" s="1" t="n">
        <v>-0.0557208000000001</v>
      </c>
      <c r="I6" s="1" t="s">
        <v>15</v>
      </c>
      <c r="J6" s="1" t="s">
        <v>16</v>
      </c>
      <c r="K6" s="1" t="s">
        <v>17</v>
      </c>
      <c r="M6" s="1" t="n">
        <v>4.62</v>
      </c>
      <c r="N6" s="1" t="n">
        <f aca="false">C6-$I$3</f>
        <v>-0.131313131313135</v>
      </c>
      <c r="O6" s="1" t="n">
        <f aca="false">D6-$J$3</f>
        <v>5.50505050505051</v>
      </c>
      <c r="P6" s="1" t="n">
        <f aca="false">E6-$K$3</f>
        <v>3.5454545454545</v>
      </c>
      <c r="Q6" s="1" t="n">
        <f aca="false">Q5+N5*0.001*9.81*(M6-M5)</f>
        <v>-0.00167265454545452</v>
      </c>
    </row>
    <row r="7" customFormat="false" ht="12.8" hidden="false" customHeight="false" outlineLevel="0" collapsed="false">
      <c r="A7" s="1" t="n">
        <v>4.64</v>
      </c>
      <c r="B7" s="1" t="n">
        <v>345</v>
      </c>
      <c r="C7" s="1" t="n">
        <v>-74</v>
      </c>
      <c r="D7" s="1" t="n">
        <v>-3</v>
      </c>
      <c r="E7" s="1" t="n">
        <v>978</v>
      </c>
      <c r="F7" s="1" t="n">
        <v>-0.0702395999999998</v>
      </c>
      <c r="H7" s="1" t="s">
        <v>13</v>
      </c>
      <c r="I7" s="2" t="n">
        <f aca="false">AVERAGE(N2:N100)</f>
        <v>-3.7321436625783E-015</v>
      </c>
      <c r="J7" s="2" t="n">
        <f aca="false">AVERAGE(O2:O100)</f>
        <v>0</v>
      </c>
      <c r="K7" s="2" t="n">
        <f aca="false">AVERAGE(P2:P100)</f>
        <v>-4.13406682624058E-014</v>
      </c>
      <c r="M7" s="1" t="n">
        <v>4.64</v>
      </c>
      <c r="N7" s="1" t="n">
        <f aca="false">C7-$I$3</f>
        <v>-4.13131313131314</v>
      </c>
      <c r="O7" s="1" t="n">
        <f aca="false">D7-$J$3</f>
        <v>-4.4949494949495</v>
      </c>
      <c r="P7" s="1" t="n">
        <f aca="false">E7-$K$3</f>
        <v>-4.4545454545455</v>
      </c>
      <c r="Q7" s="1" t="n">
        <f aca="false">Q6+N6*0.001*9.81*(M7-M6)</f>
        <v>-0.00169841818181815</v>
      </c>
    </row>
    <row r="8" customFormat="false" ht="12.8" hidden="false" customHeight="false" outlineLevel="0" collapsed="false">
      <c r="A8" s="1" t="n">
        <v>4.66</v>
      </c>
      <c r="B8" s="1" t="n">
        <v>345</v>
      </c>
      <c r="C8" s="1" t="n">
        <v>-70</v>
      </c>
      <c r="D8" s="1" t="n">
        <v>0</v>
      </c>
      <c r="E8" s="1" t="n">
        <v>990</v>
      </c>
      <c r="F8" s="1" t="n">
        <v>-0.0839736000000001</v>
      </c>
      <c r="H8" s="1" t="s">
        <v>14</v>
      </c>
      <c r="I8" s="2" t="n">
        <f aca="false">_xlfn.STDEV.S(N2:N100)</f>
        <v>4.14937040871304</v>
      </c>
      <c r="J8" s="2" t="n">
        <f aca="false">_xlfn.STDEV.S(O2:O100)</f>
        <v>3.86605778585185</v>
      </c>
      <c r="K8" s="2" t="n">
        <f aca="false">_xlfn.STDEV.S(P2:P100)</f>
        <v>5.34192644161324</v>
      </c>
      <c r="M8" s="1" t="n">
        <v>4.66</v>
      </c>
      <c r="N8" s="1" t="n">
        <f aca="false">C8-$I$3</f>
        <v>-0.131313131313135</v>
      </c>
      <c r="O8" s="1" t="n">
        <f aca="false">D8-$J$3</f>
        <v>-1.4949494949495</v>
      </c>
      <c r="P8" s="1" t="n">
        <f aca="false">E8-$K$3</f>
        <v>7.5454545454545</v>
      </c>
      <c r="Q8" s="1" t="n">
        <f aca="false">Q7+N7*0.001*9.81*(M8-M7)</f>
        <v>-0.00250898181818181</v>
      </c>
    </row>
    <row r="9" customFormat="false" ht="12.8" hidden="false" customHeight="false" outlineLevel="0" collapsed="false">
      <c r="A9" s="1" t="n">
        <v>4.68</v>
      </c>
      <c r="B9" s="1" t="n">
        <v>344</v>
      </c>
      <c r="C9" s="1" t="n">
        <v>-70</v>
      </c>
      <c r="D9" s="1" t="n">
        <v>-7</v>
      </c>
      <c r="E9" s="1" t="n">
        <v>978</v>
      </c>
      <c r="F9" s="1" t="n">
        <v>-0.0977075999999998</v>
      </c>
      <c r="M9" s="1" t="n">
        <v>4.68</v>
      </c>
      <c r="N9" s="1" t="n">
        <f aca="false">C9-$I$3</f>
        <v>-0.131313131313135</v>
      </c>
      <c r="O9" s="1" t="n">
        <f aca="false">D9-$J$3</f>
        <v>-8.4949494949495</v>
      </c>
      <c r="P9" s="1" t="n">
        <f aca="false">E9-$K$3</f>
        <v>-4.4545454545455</v>
      </c>
      <c r="Q9" s="1" t="n">
        <f aca="false">Q8+N8*0.001*9.81*(M9-M8)</f>
        <v>-0.00253474545454544</v>
      </c>
    </row>
    <row r="10" customFormat="false" ht="12.8" hidden="false" customHeight="false" outlineLevel="0" collapsed="false">
      <c r="A10" s="1" t="n">
        <v>4.7</v>
      </c>
      <c r="B10" s="1" t="n">
        <v>344</v>
      </c>
      <c r="C10" s="1" t="n">
        <v>-66</v>
      </c>
      <c r="D10" s="1" t="n">
        <v>3</v>
      </c>
      <c r="E10" s="1" t="n">
        <v>975</v>
      </c>
      <c r="F10" s="1" t="n">
        <v>-0.1106568</v>
      </c>
      <c r="M10" s="1" t="n">
        <v>4.7</v>
      </c>
      <c r="N10" s="1" t="n">
        <f aca="false">C10-$I$3</f>
        <v>3.86868686868687</v>
      </c>
      <c r="O10" s="1" t="n">
        <f aca="false">D10-$J$3</f>
        <v>1.50505050505051</v>
      </c>
      <c r="P10" s="1" t="n">
        <f aca="false">E10-$K$3</f>
        <v>-7.4545454545455</v>
      </c>
      <c r="Q10" s="1" t="n">
        <f aca="false">Q9+N9*0.001*9.81*(M10-M9)</f>
        <v>-0.00256050909090908</v>
      </c>
    </row>
    <row r="11" customFormat="false" ht="12.8" hidden="false" customHeight="false" outlineLevel="0" collapsed="false">
      <c r="A11" s="1" t="n">
        <v>4.72</v>
      </c>
      <c r="B11" s="1" t="n">
        <v>344</v>
      </c>
      <c r="C11" s="1" t="n">
        <v>-62</v>
      </c>
      <c r="D11" s="1" t="n">
        <v>0</v>
      </c>
      <c r="E11" s="1" t="n">
        <v>982</v>
      </c>
      <c r="F11" s="1" t="n">
        <v>-0.1228212</v>
      </c>
      <c r="M11" s="1" t="n">
        <v>4.72</v>
      </c>
      <c r="N11" s="1" t="n">
        <f aca="false">C11-$I$3</f>
        <v>7.86868686868687</v>
      </c>
      <c r="O11" s="1" t="n">
        <f aca="false">D11-$J$3</f>
        <v>-1.4949494949495</v>
      </c>
      <c r="P11" s="1" t="n">
        <f aca="false">E11-$K$3</f>
        <v>-0.454545454545496</v>
      </c>
      <c r="Q11" s="1" t="n">
        <f aca="false">Q10+N10*0.001*9.81*(M11-M10)</f>
        <v>-0.00180147272727274</v>
      </c>
    </row>
    <row r="12" customFormat="false" ht="12.8" hidden="false" customHeight="false" outlineLevel="0" collapsed="false">
      <c r="A12" s="1" t="n">
        <v>4.74</v>
      </c>
      <c r="B12" s="1" t="n">
        <v>345</v>
      </c>
      <c r="C12" s="1" t="n">
        <v>-74</v>
      </c>
      <c r="D12" s="1" t="n">
        <v>0</v>
      </c>
      <c r="E12" s="1" t="n">
        <v>990</v>
      </c>
      <c r="F12" s="1" t="n">
        <v>-0.13734</v>
      </c>
      <c r="M12" s="1" t="n">
        <v>4.74</v>
      </c>
      <c r="N12" s="1" t="n">
        <f aca="false">C12-$I$3</f>
        <v>-4.13131313131314</v>
      </c>
      <c r="O12" s="1" t="n">
        <f aca="false">D12-$J$3</f>
        <v>-1.4949494949495</v>
      </c>
      <c r="P12" s="1" t="n">
        <f aca="false">E12-$K$3</f>
        <v>7.5454545454545</v>
      </c>
      <c r="Q12" s="1" t="n">
        <f aca="false">Q11+N11*0.001*9.81*(M12-M11)</f>
        <v>-0.000257636363636336</v>
      </c>
    </row>
    <row r="13" customFormat="false" ht="12.8" hidden="false" customHeight="false" outlineLevel="0" collapsed="false">
      <c r="A13" s="1" t="n">
        <v>4.76</v>
      </c>
      <c r="B13" s="1" t="n">
        <v>344</v>
      </c>
      <c r="C13" s="1" t="n">
        <v>-70</v>
      </c>
      <c r="D13" s="1" t="n">
        <v>0</v>
      </c>
      <c r="E13" s="1" t="n">
        <v>986</v>
      </c>
      <c r="F13" s="1" t="n">
        <v>-0.151074</v>
      </c>
      <c r="I13" s="2"/>
      <c r="M13" s="1" t="n">
        <v>4.76</v>
      </c>
      <c r="N13" s="1" t="n">
        <f aca="false">C13-$I$3</f>
        <v>-0.131313131313135</v>
      </c>
      <c r="O13" s="1" t="n">
        <f aca="false">D13-$J$3</f>
        <v>-1.4949494949495</v>
      </c>
      <c r="P13" s="1" t="n">
        <f aca="false">E13-$K$3</f>
        <v>3.5454545454545</v>
      </c>
      <c r="Q13" s="1" t="n">
        <f aca="false">Q12+N12*0.001*9.81*(M13-M12)</f>
        <v>-0.00106819999999996</v>
      </c>
    </row>
    <row r="14" customFormat="false" ht="12.8" hidden="false" customHeight="false" outlineLevel="0" collapsed="false">
      <c r="A14" s="1" t="n">
        <v>4.78</v>
      </c>
      <c r="B14" s="1" t="n">
        <v>344</v>
      </c>
      <c r="C14" s="1" t="n">
        <v>-66</v>
      </c>
      <c r="D14" s="1" t="n">
        <v>-3</v>
      </c>
      <c r="E14" s="1" t="n">
        <v>982</v>
      </c>
      <c r="F14" s="1" t="n">
        <v>-0.1640232</v>
      </c>
      <c r="M14" s="1" t="n">
        <v>4.78</v>
      </c>
      <c r="N14" s="1" t="n">
        <f aca="false">C14-$I$3</f>
        <v>3.86868686868687</v>
      </c>
      <c r="O14" s="1" t="n">
        <f aca="false">D14-$J$3</f>
        <v>-4.4949494949495</v>
      </c>
      <c r="P14" s="1" t="n">
        <f aca="false">E14-$K$3</f>
        <v>-0.454545454545496</v>
      </c>
      <c r="Q14" s="1" t="n">
        <f aca="false">Q13+N13*0.001*9.81*(M14-M13)</f>
        <v>-0.00109396363636359</v>
      </c>
    </row>
    <row r="15" customFormat="false" ht="12.8" hidden="false" customHeight="false" outlineLevel="0" collapsed="false">
      <c r="A15" s="1" t="n">
        <v>4.8</v>
      </c>
      <c r="B15" s="1" t="n">
        <v>344</v>
      </c>
      <c r="C15" s="1" t="n">
        <v>-70</v>
      </c>
      <c r="D15" s="1" t="n">
        <v>3</v>
      </c>
      <c r="E15" s="1" t="n">
        <v>986</v>
      </c>
      <c r="F15" s="1" t="n">
        <v>-0.1777572</v>
      </c>
      <c r="M15" s="1" t="n">
        <v>4.8</v>
      </c>
      <c r="N15" s="1" t="n">
        <f aca="false">C15-$I$3</f>
        <v>-0.131313131313135</v>
      </c>
      <c r="O15" s="1" t="n">
        <f aca="false">D15-$J$3</f>
        <v>1.50505050505051</v>
      </c>
      <c r="P15" s="1" t="n">
        <f aca="false">E15-$K$3</f>
        <v>3.5454545454545</v>
      </c>
      <c r="Q15" s="1" t="n">
        <f aca="false">Q14+N14*0.001*9.81*(M15-M14)</f>
        <v>-0.000334927272727247</v>
      </c>
    </row>
    <row r="16" customFormat="false" ht="12.8" hidden="false" customHeight="false" outlineLevel="0" collapsed="false">
      <c r="A16" s="1" t="n">
        <v>4.82</v>
      </c>
      <c r="B16" s="1" t="n">
        <v>344</v>
      </c>
      <c r="C16" s="1" t="n">
        <v>-66</v>
      </c>
      <c r="D16" s="1" t="n">
        <v>0</v>
      </c>
      <c r="E16" s="1" t="n">
        <v>978</v>
      </c>
      <c r="F16" s="1" t="n">
        <v>-0.1907064</v>
      </c>
      <c r="M16" s="1" t="n">
        <v>4.82</v>
      </c>
      <c r="N16" s="1" t="n">
        <f aca="false">C16-$I$3</f>
        <v>3.86868686868687</v>
      </c>
      <c r="O16" s="1" t="n">
        <f aca="false">D16-$J$3</f>
        <v>-1.4949494949495</v>
      </c>
      <c r="P16" s="1" t="n">
        <f aca="false">E16-$K$3</f>
        <v>-4.4545454545455</v>
      </c>
      <c r="Q16" s="1" t="n">
        <f aca="false">Q15+N15*0.001*9.81*(M16-M15)</f>
        <v>-0.000360690909090885</v>
      </c>
    </row>
    <row r="17" customFormat="false" ht="12.8" hidden="false" customHeight="false" outlineLevel="0" collapsed="false">
      <c r="A17" s="1" t="n">
        <v>4.84</v>
      </c>
      <c r="B17" s="1" t="n">
        <v>344</v>
      </c>
      <c r="C17" s="1" t="n">
        <v>-74</v>
      </c>
      <c r="D17" s="1" t="n">
        <v>7</v>
      </c>
      <c r="E17" s="1" t="n">
        <v>978</v>
      </c>
      <c r="F17" s="1" t="n">
        <v>-0.2052252</v>
      </c>
      <c r="M17" s="1" t="n">
        <v>4.84</v>
      </c>
      <c r="N17" s="1" t="n">
        <f aca="false">C17-$I$3</f>
        <v>-4.13131313131314</v>
      </c>
      <c r="O17" s="1" t="n">
        <f aca="false">D17-$J$3</f>
        <v>5.50505050505051</v>
      </c>
      <c r="P17" s="1" t="n">
        <f aca="false">E17-$K$3</f>
        <v>-4.4545454545455</v>
      </c>
      <c r="Q17" s="1" t="n">
        <f aca="false">Q16+N16*0.001*9.81*(M17-M16)</f>
        <v>0.000398345454545462</v>
      </c>
    </row>
    <row r="18" customFormat="false" ht="12.8" hidden="false" customHeight="false" outlineLevel="0" collapsed="false">
      <c r="A18" s="1" t="n">
        <v>4.86</v>
      </c>
      <c r="B18" s="1" t="n">
        <v>345</v>
      </c>
      <c r="C18" s="1" t="n">
        <v>-74</v>
      </c>
      <c r="D18" s="1" t="n">
        <v>3</v>
      </c>
      <c r="E18" s="1" t="n">
        <v>982</v>
      </c>
      <c r="F18" s="1" t="n">
        <v>-0.219744</v>
      </c>
      <c r="M18" s="1" t="n">
        <v>4.86</v>
      </c>
      <c r="N18" s="1" t="n">
        <f aca="false">C18-$I$3</f>
        <v>-4.13131313131314</v>
      </c>
      <c r="O18" s="1" t="n">
        <f aca="false">D18-$J$3</f>
        <v>1.50505050505051</v>
      </c>
      <c r="P18" s="1" t="n">
        <f aca="false">E18-$K$3</f>
        <v>-0.454545454545496</v>
      </c>
      <c r="Q18" s="1" t="n">
        <f aca="false">Q17+N17*0.001*9.81*(M18-M17)</f>
        <v>-0.000412218181818194</v>
      </c>
    </row>
    <row r="19" customFormat="false" ht="12.8" hidden="false" customHeight="false" outlineLevel="0" collapsed="false">
      <c r="A19" s="1" t="n">
        <v>4.88</v>
      </c>
      <c r="B19" s="1" t="n">
        <v>344</v>
      </c>
      <c r="C19" s="1" t="n">
        <v>-66</v>
      </c>
      <c r="D19" s="1" t="n">
        <v>0</v>
      </c>
      <c r="E19" s="1" t="n">
        <v>982</v>
      </c>
      <c r="F19" s="1" t="n">
        <v>-0.2326932</v>
      </c>
      <c r="M19" s="1" t="n">
        <v>4.88</v>
      </c>
      <c r="N19" s="1" t="n">
        <f aca="false">C19-$I$3</f>
        <v>3.86868686868687</v>
      </c>
      <c r="O19" s="1" t="n">
        <f aca="false">D19-$J$3</f>
        <v>-1.4949494949495</v>
      </c>
      <c r="P19" s="1" t="n">
        <f aca="false">E19-$K$3</f>
        <v>-0.454545454545496</v>
      </c>
      <c r="Q19" s="1" t="n">
        <f aca="false">Q18+N18*0.001*9.81*(M19-M18)</f>
        <v>-0.00122278181818181</v>
      </c>
    </row>
    <row r="20" customFormat="false" ht="12.8" hidden="false" customHeight="false" outlineLevel="0" collapsed="false">
      <c r="A20" s="1" t="n">
        <v>4.9</v>
      </c>
      <c r="B20" s="1" t="n">
        <v>344</v>
      </c>
      <c r="C20" s="1" t="n">
        <v>-66</v>
      </c>
      <c r="D20" s="1" t="n">
        <v>0</v>
      </c>
      <c r="E20" s="1" t="n">
        <v>986</v>
      </c>
      <c r="F20" s="1" t="n">
        <v>-0.2456424</v>
      </c>
      <c r="M20" s="1" t="n">
        <v>4.9</v>
      </c>
      <c r="N20" s="1" t="n">
        <f aca="false">C20-$I$3</f>
        <v>3.86868686868687</v>
      </c>
      <c r="O20" s="1" t="n">
        <f aca="false">D20-$J$3</f>
        <v>-1.4949494949495</v>
      </c>
      <c r="P20" s="1" t="n">
        <f aca="false">E20-$K$3</f>
        <v>3.5454545454545</v>
      </c>
      <c r="Q20" s="1" t="n">
        <f aca="false">Q19+N19*0.001*9.81*(M20-M19)</f>
        <v>-0.000463745454545433</v>
      </c>
    </row>
    <row r="21" customFormat="false" ht="12.8" hidden="false" customHeight="false" outlineLevel="0" collapsed="false">
      <c r="A21" s="1" t="n">
        <v>4.92</v>
      </c>
      <c r="B21" s="1" t="n">
        <v>344</v>
      </c>
      <c r="C21" s="1" t="n">
        <v>-66</v>
      </c>
      <c r="D21" s="1" t="n">
        <v>3</v>
      </c>
      <c r="E21" s="1" t="n">
        <v>990</v>
      </c>
      <c r="F21" s="1" t="n">
        <v>-0.2585916</v>
      </c>
      <c r="M21" s="1" t="n">
        <v>4.92</v>
      </c>
      <c r="N21" s="1" t="n">
        <f aca="false">C21-$I$3</f>
        <v>3.86868686868687</v>
      </c>
      <c r="O21" s="1" t="n">
        <f aca="false">D21-$J$3</f>
        <v>1.50505050505051</v>
      </c>
      <c r="P21" s="1" t="n">
        <f aca="false">E21-$K$3</f>
        <v>7.5454545454545</v>
      </c>
      <c r="Q21" s="1" t="n">
        <f aca="false">Q20+N20*0.001*9.81*(M21-M20)</f>
        <v>0.000295290909090913</v>
      </c>
    </row>
    <row r="22" customFormat="false" ht="12.8" hidden="false" customHeight="false" outlineLevel="0" collapsed="false">
      <c r="A22" s="1" t="n">
        <v>4.94</v>
      </c>
      <c r="B22" s="1" t="n">
        <v>345</v>
      </c>
      <c r="C22" s="1" t="n">
        <v>-70</v>
      </c>
      <c r="D22" s="1" t="n">
        <v>3</v>
      </c>
      <c r="E22" s="1" t="n">
        <v>982</v>
      </c>
      <c r="F22" s="1" t="n">
        <v>-0.2723256</v>
      </c>
      <c r="M22" s="1" t="n">
        <v>4.94</v>
      </c>
      <c r="N22" s="1" t="n">
        <f aca="false">C22-$I$3</f>
        <v>-0.131313131313135</v>
      </c>
      <c r="O22" s="1" t="n">
        <f aca="false">D22-$J$3</f>
        <v>1.50505050505051</v>
      </c>
      <c r="P22" s="1" t="n">
        <f aca="false">E22-$K$3</f>
        <v>-0.454545454545496</v>
      </c>
      <c r="Q22" s="1" t="n">
        <f aca="false">Q21+N21*0.001*9.81*(M22-M21)</f>
        <v>0.00105432727272729</v>
      </c>
    </row>
    <row r="23" customFormat="false" ht="12.8" hidden="false" customHeight="false" outlineLevel="0" collapsed="false">
      <c r="A23" s="1" t="n">
        <v>4.96</v>
      </c>
      <c r="B23" s="1" t="n">
        <v>344</v>
      </c>
      <c r="C23" s="1" t="n">
        <v>-74</v>
      </c>
      <c r="D23" s="1" t="n">
        <v>0</v>
      </c>
      <c r="E23" s="1" t="n">
        <v>982</v>
      </c>
      <c r="F23" s="1" t="n">
        <v>-0.2868444</v>
      </c>
      <c r="M23" s="1" t="n">
        <v>4.96</v>
      </c>
      <c r="N23" s="1" t="n">
        <f aca="false">C23-$I$3</f>
        <v>-4.13131313131314</v>
      </c>
      <c r="O23" s="1" t="n">
        <f aca="false">D23-$J$3</f>
        <v>-1.4949494949495</v>
      </c>
      <c r="P23" s="1" t="n">
        <f aca="false">E23-$K$3</f>
        <v>-0.454545454545496</v>
      </c>
      <c r="Q23" s="1" t="n">
        <f aca="false">Q22+N22*0.001*9.81*(M23-M22)</f>
        <v>0.00102856363636366</v>
      </c>
    </row>
    <row r="24" customFormat="false" ht="12.8" hidden="false" customHeight="false" outlineLevel="0" collapsed="false">
      <c r="A24" s="1" t="n">
        <v>4.98</v>
      </c>
      <c r="B24" s="1" t="n">
        <v>345</v>
      </c>
      <c r="C24" s="1" t="n">
        <v>-66</v>
      </c>
      <c r="D24" s="1" t="n">
        <v>3</v>
      </c>
      <c r="E24" s="1" t="n">
        <v>986</v>
      </c>
      <c r="F24" s="1" t="n">
        <v>-0.2997936</v>
      </c>
      <c r="M24" s="1" t="n">
        <v>4.98</v>
      </c>
      <c r="N24" s="1" t="n">
        <f aca="false">C24-$I$3</f>
        <v>3.86868686868687</v>
      </c>
      <c r="O24" s="1" t="n">
        <f aca="false">D24-$J$3</f>
        <v>1.50505050505051</v>
      </c>
      <c r="P24" s="1" t="n">
        <f aca="false">E24-$K$3</f>
        <v>3.5454545454545</v>
      </c>
      <c r="Q24" s="1" t="n">
        <f aca="false">Q23+N23*0.001*9.81*(M24-M23)</f>
        <v>0.000218000000000002</v>
      </c>
    </row>
    <row r="25" customFormat="false" ht="12.8" hidden="false" customHeight="false" outlineLevel="0" collapsed="false">
      <c r="A25" s="1" t="n">
        <v>5</v>
      </c>
      <c r="B25" s="1" t="n">
        <v>345</v>
      </c>
      <c r="C25" s="1" t="n">
        <v>-66</v>
      </c>
      <c r="D25" s="1" t="n">
        <v>11</v>
      </c>
      <c r="E25" s="1" t="n">
        <v>990</v>
      </c>
      <c r="F25" s="1" t="n">
        <v>-0.3127428</v>
      </c>
      <c r="M25" s="1" t="n">
        <v>5</v>
      </c>
      <c r="N25" s="1" t="n">
        <f aca="false">C25-$I$3</f>
        <v>3.86868686868687</v>
      </c>
      <c r="O25" s="1" t="n">
        <f aca="false">D25-$J$3</f>
        <v>9.50505050505051</v>
      </c>
      <c r="P25" s="1" t="n">
        <f aca="false">E25-$K$3</f>
        <v>7.5454545454545</v>
      </c>
      <c r="Q25" s="1" t="n">
        <f aca="false">Q24+N24*0.001*9.81*(M25-M24)</f>
        <v>0.000977036363636348</v>
      </c>
    </row>
    <row r="26" customFormat="false" ht="12.8" hidden="false" customHeight="false" outlineLevel="0" collapsed="false">
      <c r="A26" s="1" t="n">
        <v>5.02</v>
      </c>
      <c r="B26" s="1" t="n">
        <v>344</v>
      </c>
      <c r="C26" s="1" t="n">
        <v>-66</v>
      </c>
      <c r="D26" s="1" t="n">
        <v>0</v>
      </c>
      <c r="E26" s="1" t="n">
        <v>978</v>
      </c>
      <c r="F26" s="1" t="n">
        <v>-0.325692</v>
      </c>
      <c r="M26" s="1" t="n">
        <v>5.02</v>
      </c>
      <c r="N26" s="1" t="n">
        <f aca="false">C26-$I$3</f>
        <v>3.86868686868687</v>
      </c>
      <c r="O26" s="1" t="n">
        <f aca="false">D26-$J$3</f>
        <v>-1.4949494949495</v>
      </c>
      <c r="P26" s="1" t="n">
        <f aca="false">E26-$K$3</f>
        <v>-4.4545454545455</v>
      </c>
      <c r="Q26" s="1" t="n">
        <f aca="false">Q25+N25*0.001*9.81*(M26-M25)</f>
        <v>0.0017360727272727</v>
      </c>
    </row>
    <row r="27" customFormat="false" ht="12.8" hidden="false" customHeight="false" outlineLevel="0" collapsed="false">
      <c r="A27" s="1" t="n">
        <v>5.04</v>
      </c>
      <c r="B27" s="1" t="n">
        <v>344</v>
      </c>
      <c r="C27" s="1" t="n">
        <v>-74</v>
      </c>
      <c r="D27" s="1" t="n">
        <v>0</v>
      </c>
      <c r="E27" s="1" t="n">
        <v>982</v>
      </c>
      <c r="F27" s="1" t="n">
        <v>-0.3402108</v>
      </c>
      <c r="M27" s="1" t="n">
        <v>5.04</v>
      </c>
      <c r="N27" s="1" t="n">
        <f aca="false">C27-$I$3</f>
        <v>-4.13131313131314</v>
      </c>
      <c r="O27" s="1" t="n">
        <f aca="false">D27-$J$3</f>
        <v>-1.4949494949495</v>
      </c>
      <c r="P27" s="1" t="n">
        <f aca="false">E27-$K$3</f>
        <v>-0.454545454545496</v>
      </c>
      <c r="Q27" s="1" t="n">
        <f aca="false">Q26+N26*0.001*9.81*(M27-M26)</f>
        <v>0.00249510909090908</v>
      </c>
    </row>
    <row r="28" customFormat="false" ht="12.8" hidden="false" customHeight="false" outlineLevel="0" collapsed="false">
      <c r="A28" s="1" t="n">
        <v>5.06</v>
      </c>
      <c r="B28" s="1" t="n">
        <v>344</v>
      </c>
      <c r="C28" s="1" t="n">
        <v>-78</v>
      </c>
      <c r="D28" s="1" t="n">
        <v>7</v>
      </c>
      <c r="E28" s="1" t="n">
        <v>978</v>
      </c>
      <c r="F28" s="1" t="n">
        <v>-0.3555144</v>
      </c>
      <c r="M28" s="1" t="n">
        <v>5.06</v>
      </c>
      <c r="N28" s="1" t="n">
        <f aca="false">C28-$I$3</f>
        <v>-8.13131313131314</v>
      </c>
      <c r="O28" s="1" t="n">
        <f aca="false">D28-$J$3</f>
        <v>5.50505050505051</v>
      </c>
      <c r="P28" s="1" t="n">
        <f aca="false">E28-$K$3</f>
        <v>-4.4545454545455</v>
      </c>
      <c r="Q28" s="1" t="n">
        <f aca="false">Q27+N27*0.001*9.81*(M28-M27)</f>
        <v>0.00168454545454546</v>
      </c>
    </row>
    <row r="29" customFormat="false" ht="12.8" hidden="false" customHeight="false" outlineLevel="0" collapsed="false">
      <c r="A29" s="1" t="n">
        <v>5.08</v>
      </c>
      <c r="B29" s="1" t="n">
        <v>344</v>
      </c>
      <c r="C29" s="1" t="n">
        <v>-74</v>
      </c>
      <c r="D29" s="1" t="n">
        <v>0</v>
      </c>
      <c r="E29" s="1" t="n">
        <v>990</v>
      </c>
      <c r="F29" s="1" t="n">
        <v>-0.3700332</v>
      </c>
      <c r="M29" s="1" t="n">
        <v>5.08</v>
      </c>
      <c r="N29" s="1" t="n">
        <f aca="false">C29-$I$3</f>
        <v>-4.13131313131314</v>
      </c>
      <c r="O29" s="1" t="n">
        <f aca="false">D29-$J$3</f>
        <v>-1.4949494949495</v>
      </c>
      <c r="P29" s="1" t="n">
        <f aca="false">E29-$K$3</f>
        <v>7.5454545454545</v>
      </c>
      <c r="Q29" s="1" t="n">
        <f aca="false">Q28+N28*0.001*9.81*(M29-M28)</f>
        <v>8.91818181817815E-005</v>
      </c>
    </row>
    <row r="30" customFormat="false" ht="12.8" hidden="false" customHeight="false" outlineLevel="0" collapsed="false">
      <c r="A30" s="1" t="n">
        <v>5.1</v>
      </c>
      <c r="B30" s="1" t="n">
        <v>344</v>
      </c>
      <c r="C30" s="1" t="n">
        <v>-70</v>
      </c>
      <c r="D30" s="1" t="n">
        <v>-3</v>
      </c>
      <c r="E30" s="1" t="n">
        <v>982</v>
      </c>
      <c r="F30" s="1" t="n">
        <v>-0.3837672</v>
      </c>
      <c r="M30" s="1" t="n">
        <v>5.1</v>
      </c>
      <c r="N30" s="1" t="n">
        <f aca="false">C30-$I$3</f>
        <v>-0.131313131313135</v>
      </c>
      <c r="O30" s="1" t="n">
        <f aca="false">D30-$J$3</f>
        <v>-4.4949494949495</v>
      </c>
      <c r="P30" s="1" t="n">
        <f aca="false">E30-$K$3</f>
        <v>-0.454545454545496</v>
      </c>
      <c r="Q30" s="1" t="n">
        <f aca="false">Q29+N29*0.001*9.81*(M30-M29)</f>
        <v>-0.000721381818181839</v>
      </c>
    </row>
    <row r="31" customFormat="false" ht="12.8" hidden="false" customHeight="false" outlineLevel="0" collapsed="false">
      <c r="A31" s="1" t="n">
        <v>5.12</v>
      </c>
      <c r="B31" s="1" t="n">
        <v>345</v>
      </c>
      <c r="C31" s="1" t="n">
        <v>-66</v>
      </c>
      <c r="D31" s="1" t="n">
        <v>11</v>
      </c>
      <c r="E31" s="1" t="n">
        <v>998</v>
      </c>
      <c r="F31" s="1" t="n">
        <v>-0.3967164</v>
      </c>
      <c r="M31" s="1" t="n">
        <v>5.12</v>
      </c>
      <c r="N31" s="1" t="n">
        <f aca="false">C31-$I$3</f>
        <v>3.86868686868687</v>
      </c>
      <c r="O31" s="1" t="n">
        <f aca="false">D31-$J$3</f>
        <v>9.50505050505051</v>
      </c>
      <c r="P31" s="1" t="n">
        <f aca="false">E31-$K$3</f>
        <v>15.5454545454545</v>
      </c>
      <c r="Q31" s="1" t="n">
        <f aca="false">Q30+N30*0.001*9.81*(M31-M30)</f>
        <v>-0.000747145454545476</v>
      </c>
    </row>
    <row r="32" customFormat="false" ht="12.8" hidden="false" customHeight="false" outlineLevel="0" collapsed="false">
      <c r="A32" s="1" t="n">
        <v>5.14</v>
      </c>
      <c r="B32" s="1" t="n">
        <v>343</v>
      </c>
      <c r="C32" s="1" t="n">
        <v>-70</v>
      </c>
      <c r="D32" s="1" t="n">
        <v>3</v>
      </c>
      <c r="E32" s="1" t="n">
        <v>982</v>
      </c>
      <c r="F32" s="1" t="n">
        <v>-0.4104504</v>
      </c>
      <c r="M32" s="1" t="n">
        <v>5.14</v>
      </c>
      <c r="N32" s="1" t="n">
        <f aca="false">C32-$I$3</f>
        <v>-0.131313131313135</v>
      </c>
      <c r="O32" s="1" t="n">
        <f aca="false">D32-$J$3</f>
        <v>1.50505050505051</v>
      </c>
      <c r="P32" s="1" t="n">
        <f aca="false">E32-$K$3</f>
        <v>-0.454545454545496</v>
      </c>
      <c r="Q32" s="1" t="n">
        <f aca="false">Q31+N31*0.001*9.81*(M32-M31)</f>
        <v>1.18909090908706E-005</v>
      </c>
    </row>
    <row r="33" customFormat="false" ht="12.8" hidden="false" customHeight="false" outlineLevel="0" collapsed="false">
      <c r="A33" s="1" t="n">
        <v>5.16</v>
      </c>
      <c r="B33" s="1" t="n">
        <v>344</v>
      </c>
      <c r="C33" s="1" t="n">
        <v>-70</v>
      </c>
      <c r="D33" s="1" t="n">
        <v>0</v>
      </c>
      <c r="E33" s="1" t="n">
        <v>990</v>
      </c>
      <c r="F33" s="1" t="n">
        <v>-0.4241844</v>
      </c>
      <c r="M33" s="1" t="n">
        <v>5.16</v>
      </c>
      <c r="N33" s="1" t="n">
        <f aca="false">C33-$I$3</f>
        <v>-0.131313131313135</v>
      </c>
      <c r="O33" s="1" t="n">
        <f aca="false">D33-$J$3</f>
        <v>-1.4949494949495</v>
      </c>
      <c r="P33" s="1" t="n">
        <f aca="false">E33-$K$3</f>
        <v>7.5454545454545</v>
      </c>
      <c r="Q33" s="1" t="n">
        <f aca="false">Q32+N32*0.001*9.81*(M33-M32)</f>
        <v>-1.38727272727671E-005</v>
      </c>
    </row>
    <row r="34" customFormat="false" ht="12.8" hidden="false" customHeight="false" outlineLevel="0" collapsed="false">
      <c r="A34" s="1" t="n">
        <v>5.18</v>
      </c>
      <c r="B34" s="1" t="n">
        <v>343</v>
      </c>
      <c r="C34" s="1" t="n">
        <v>-70</v>
      </c>
      <c r="D34" s="1" t="n">
        <v>0</v>
      </c>
      <c r="E34" s="1" t="n">
        <v>982</v>
      </c>
      <c r="F34" s="1" t="n">
        <v>-0.4379184</v>
      </c>
      <c r="M34" s="1" t="n">
        <v>5.18</v>
      </c>
      <c r="N34" s="1" t="n">
        <f aca="false">C34-$I$3</f>
        <v>-0.131313131313135</v>
      </c>
      <c r="O34" s="1" t="n">
        <f aca="false">D34-$J$3</f>
        <v>-1.4949494949495</v>
      </c>
      <c r="P34" s="1" t="n">
        <f aca="false">E34-$K$3</f>
        <v>-0.454545454545496</v>
      </c>
      <c r="Q34" s="1" t="n">
        <f aca="false">Q33+N33*0.001*9.81*(M34-M33)</f>
        <v>-3.96363636364037E-005</v>
      </c>
    </row>
    <row r="35" customFormat="false" ht="12.8" hidden="false" customHeight="false" outlineLevel="0" collapsed="false">
      <c r="A35" s="1" t="n">
        <v>5.2</v>
      </c>
      <c r="B35" s="1" t="n">
        <v>343</v>
      </c>
      <c r="C35" s="1" t="n">
        <v>-81</v>
      </c>
      <c r="D35" s="1" t="n">
        <v>0</v>
      </c>
      <c r="E35" s="1" t="n">
        <v>990</v>
      </c>
      <c r="F35" s="1" t="n">
        <v>-0.4538106</v>
      </c>
      <c r="M35" s="1" t="n">
        <v>5.2</v>
      </c>
      <c r="N35" s="1" t="n">
        <f aca="false">C35-$I$3</f>
        <v>-11.1313131313131</v>
      </c>
      <c r="O35" s="1" t="n">
        <f aca="false">D35-$J$3</f>
        <v>-1.4949494949495</v>
      </c>
      <c r="P35" s="1" t="n">
        <f aca="false">E35-$K$3</f>
        <v>7.5454545454545</v>
      </c>
      <c r="Q35" s="1" t="n">
        <f aca="false">Q34+N34*0.001*9.81*(M35-M34)</f>
        <v>-6.54000000000413E-005</v>
      </c>
    </row>
    <row r="36" customFormat="false" ht="12.8" hidden="false" customHeight="false" outlineLevel="0" collapsed="false">
      <c r="A36" s="1" t="n">
        <v>5.22</v>
      </c>
      <c r="B36" s="1" t="n">
        <v>344</v>
      </c>
      <c r="C36" s="1" t="n">
        <v>-66</v>
      </c>
      <c r="D36" s="1" t="n">
        <v>0</v>
      </c>
      <c r="E36" s="1" t="n">
        <v>982</v>
      </c>
      <c r="F36" s="1" t="n">
        <v>-0.4667598</v>
      </c>
      <c r="M36" s="1" t="n">
        <v>5.22</v>
      </c>
      <c r="N36" s="1" t="n">
        <f aca="false">C36-$I$3</f>
        <v>3.86868686868687</v>
      </c>
      <c r="O36" s="1" t="n">
        <f aca="false">D36-$J$3</f>
        <v>-1.4949494949495</v>
      </c>
      <c r="P36" s="1" t="n">
        <f aca="false">E36-$K$3</f>
        <v>-0.454545454545496</v>
      </c>
      <c r="Q36" s="1" t="n">
        <f aca="false">Q35+N35*0.001*9.81*(M36-M35)</f>
        <v>-0.00224936363636363</v>
      </c>
    </row>
    <row r="37" customFormat="false" ht="12.8" hidden="false" customHeight="false" outlineLevel="0" collapsed="false">
      <c r="A37" s="1" t="n">
        <v>5.24</v>
      </c>
      <c r="B37" s="1" t="n">
        <v>343</v>
      </c>
      <c r="C37" s="1" t="n">
        <v>-74</v>
      </c>
      <c r="D37" s="1" t="n">
        <v>3</v>
      </c>
      <c r="E37" s="1" t="n">
        <v>986</v>
      </c>
      <c r="F37" s="1" t="n">
        <v>-0.4812786</v>
      </c>
      <c r="M37" s="1" t="n">
        <v>5.24</v>
      </c>
      <c r="N37" s="1" t="n">
        <f aca="false">C37-$I$3</f>
        <v>-4.13131313131314</v>
      </c>
      <c r="O37" s="1" t="n">
        <f aca="false">D37-$J$3</f>
        <v>1.50505050505051</v>
      </c>
      <c r="P37" s="1" t="n">
        <f aca="false">E37-$K$3</f>
        <v>3.5454545454545</v>
      </c>
      <c r="Q37" s="1" t="n">
        <f aca="false">Q36+N36*0.001*9.81*(M37-M36)</f>
        <v>-0.00149032727272725</v>
      </c>
    </row>
    <row r="38" customFormat="false" ht="12.8" hidden="false" customHeight="false" outlineLevel="0" collapsed="false">
      <c r="A38" s="1" t="n">
        <v>5.26</v>
      </c>
      <c r="B38" s="1" t="n">
        <v>344</v>
      </c>
      <c r="C38" s="1" t="n">
        <v>-70</v>
      </c>
      <c r="D38" s="1" t="n">
        <v>0</v>
      </c>
      <c r="E38" s="1" t="n">
        <v>982</v>
      </c>
      <c r="F38" s="1" t="n">
        <v>-0.4950126</v>
      </c>
      <c r="M38" s="1" t="n">
        <v>5.26</v>
      </c>
      <c r="N38" s="1" t="n">
        <f aca="false">C38-$I$3</f>
        <v>-0.131313131313135</v>
      </c>
      <c r="O38" s="1" t="n">
        <f aca="false">D38-$J$3</f>
        <v>-1.4949494949495</v>
      </c>
      <c r="P38" s="1" t="n">
        <f aca="false">E38-$K$3</f>
        <v>-0.454545454545496</v>
      </c>
      <c r="Q38" s="1" t="n">
        <f aca="false">Q37+N37*0.001*9.81*(M38-M37)</f>
        <v>-0.00230089090909087</v>
      </c>
    </row>
    <row r="39" customFormat="false" ht="12.8" hidden="false" customHeight="false" outlineLevel="0" collapsed="false">
      <c r="A39" s="1" t="n">
        <v>5.28</v>
      </c>
      <c r="B39" s="1" t="n">
        <v>343</v>
      </c>
      <c r="C39" s="1" t="n">
        <v>-74</v>
      </c>
      <c r="D39" s="1" t="n">
        <v>-11</v>
      </c>
      <c r="E39" s="1" t="n">
        <v>978</v>
      </c>
      <c r="F39" s="1" t="n">
        <v>-0.5095314</v>
      </c>
      <c r="M39" s="1" t="n">
        <v>5.28</v>
      </c>
      <c r="N39" s="1" t="n">
        <f aca="false">C39-$I$3</f>
        <v>-4.13131313131314</v>
      </c>
      <c r="O39" s="1" t="n">
        <f aca="false">D39-$J$3</f>
        <v>-12.4949494949495</v>
      </c>
      <c r="P39" s="1" t="n">
        <f aca="false">E39-$K$3</f>
        <v>-4.4545454545455</v>
      </c>
      <c r="Q39" s="1" t="n">
        <f aca="false">Q38+N38*0.001*9.81*(M39-M38)</f>
        <v>-0.00232665454545451</v>
      </c>
    </row>
    <row r="40" customFormat="false" ht="12.8" hidden="false" customHeight="false" outlineLevel="0" collapsed="false">
      <c r="A40" s="1" t="n">
        <v>5.3</v>
      </c>
      <c r="B40" s="1" t="n">
        <v>343</v>
      </c>
      <c r="C40" s="1" t="n">
        <v>-58</v>
      </c>
      <c r="D40" s="1" t="n">
        <v>-3</v>
      </c>
      <c r="E40" s="1" t="n">
        <v>963</v>
      </c>
      <c r="F40" s="1" t="n">
        <v>-0.520911</v>
      </c>
      <c r="M40" s="1" t="n">
        <v>5.3</v>
      </c>
      <c r="N40" s="1" t="n">
        <f aca="false">C40-$I$3</f>
        <v>11.8686868686869</v>
      </c>
      <c r="O40" s="1" t="n">
        <f aca="false">D40-$J$3</f>
        <v>-4.4949494949495</v>
      </c>
      <c r="P40" s="1" t="n">
        <f aca="false">E40-$K$3</f>
        <v>-19.4545454545455</v>
      </c>
      <c r="Q40" s="1" t="n">
        <f aca="false">Q39+N39*0.001*9.81*(M40-M39)</f>
        <v>-0.00313721818181813</v>
      </c>
    </row>
    <row r="41" customFormat="false" ht="12.8" hidden="false" customHeight="false" outlineLevel="0" collapsed="false">
      <c r="A41" s="1" t="n">
        <v>5.32</v>
      </c>
      <c r="B41" s="1" t="n">
        <v>343</v>
      </c>
      <c r="C41" s="1" t="n">
        <v>-70</v>
      </c>
      <c r="D41" s="1" t="n">
        <v>0</v>
      </c>
      <c r="E41" s="1" t="n">
        <v>982</v>
      </c>
      <c r="F41" s="1" t="n">
        <v>-0.534645</v>
      </c>
      <c r="M41" s="1" t="n">
        <v>5.32</v>
      </c>
      <c r="N41" s="1" t="n">
        <f aca="false">C41-$I$3</f>
        <v>-0.131313131313135</v>
      </c>
      <c r="O41" s="1" t="n">
        <f aca="false">D41-$J$3</f>
        <v>-1.4949494949495</v>
      </c>
      <c r="P41" s="1" t="n">
        <f aca="false">E41-$K$3</f>
        <v>-0.454545454545496</v>
      </c>
      <c r="Q41" s="1" t="n">
        <f aca="false">Q40+N40*0.001*9.81*(M41-M40)</f>
        <v>-0.000808581818181713</v>
      </c>
    </row>
    <row r="42" customFormat="false" ht="12.8" hidden="false" customHeight="false" outlineLevel="0" collapsed="false">
      <c r="A42" s="1" t="n">
        <v>5.34</v>
      </c>
      <c r="B42" s="1" t="n">
        <v>344</v>
      </c>
      <c r="C42" s="1" t="n">
        <v>-66</v>
      </c>
      <c r="D42" s="1" t="n">
        <v>-3</v>
      </c>
      <c r="E42" s="1" t="n">
        <v>986</v>
      </c>
      <c r="F42" s="1" t="n">
        <v>-0.5475942</v>
      </c>
      <c r="M42" s="1" t="n">
        <v>5.34</v>
      </c>
      <c r="N42" s="1" t="n">
        <f aca="false">C42-$I$3</f>
        <v>3.86868686868687</v>
      </c>
      <c r="O42" s="1" t="n">
        <f aca="false">D42-$J$3</f>
        <v>-4.4949494949495</v>
      </c>
      <c r="P42" s="1" t="n">
        <f aca="false">E42-$K$3</f>
        <v>3.5454545454545</v>
      </c>
      <c r="Q42" s="1" t="n">
        <f aca="false">Q41+N41*0.001*9.81*(M42-M41)</f>
        <v>-0.00083434545454535</v>
      </c>
    </row>
    <row r="43" customFormat="false" ht="12.8" hidden="false" customHeight="false" outlineLevel="0" collapsed="false">
      <c r="A43" s="1" t="n">
        <v>5.36</v>
      </c>
      <c r="B43" s="1" t="n">
        <v>343</v>
      </c>
      <c r="C43" s="1" t="n">
        <v>-70</v>
      </c>
      <c r="D43" s="1" t="n">
        <v>3</v>
      </c>
      <c r="E43" s="1" t="n">
        <v>978</v>
      </c>
      <c r="F43" s="1" t="n">
        <v>-0.5613282</v>
      </c>
      <c r="M43" s="1" t="n">
        <v>5.36</v>
      </c>
      <c r="N43" s="1" t="n">
        <f aca="false">C43-$I$3</f>
        <v>-0.131313131313135</v>
      </c>
      <c r="O43" s="1" t="n">
        <f aca="false">D43-$J$3</f>
        <v>1.50505050505051</v>
      </c>
      <c r="P43" s="1" t="n">
        <f aca="false">E43-$K$3</f>
        <v>-4.4545454545455</v>
      </c>
      <c r="Q43" s="1" t="n">
        <f aca="false">Q42+N42*0.001*9.81*(M43-M42)</f>
        <v>-7.5309090908969E-005</v>
      </c>
    </row>
    <row r="44" customFormat="false" ht="12.8" hidden="false" customHeight="false" outlineLevel="0" collapsed="false">
      <c r="A44" s="1" t="n">
        <v>5.38</v>
      </c>
      <c r="B44" s="1" t="n">
        <v>344</v>
      </c>
      <c r="C44" s="1" t="n">
        <v>-70</v>
      </c>
      <c r="D44" s="1" t="n">
        <v>3</v>
      </c>
      <c r="E44" s="1" t="n">
        <v>986</v>
      </c>
      <c r="F44" s="1" t="n">
        <v>-0.5750622</v>
      </c>
      <c r="M44" s="1" t="n">
        <v>5.38</v>
      </c>
      <c r="N44" s="1" t="n">
        <f aca="false">C44-$I$3</f>
        <v>-0.131313131313135</v>
      </c>
      <c r="O44" s="1" t="n">
        <f aca="false">D44-$J$3</f>
        <v>1.50505050505051</v>
      </c>
      <c r="P44" s="1" t="n">
        <f aca="false">E44-$K$3</f>
        <v>3.5454545454545</v>
      </c>
      <c r="Q44" s="1" t="n">
        <f aca="false">Q43+N43*0.001*9.81*(M44-M43)</f>
        <v>-0.000101072727272606</v>
      </c>
    </row>
    <row r="45" customFormat="false" ht="12.8" hidden="false" customHeight="false" outlineLevel="0" collapsed="false">
      <c r="A45" s="1" t="n">
        <v>5.4</v>
      </c>
      <c r="B45" s="1" t="n">
        <v>344</v>
      </c>
      <c r="C45" s="1" t="n">
        <v>-66</v>
      </c>
      <c r="D45" s="1" t="n">
        <v>0</v>
      </c>
      <c r="E45" s="1" t="n">
        <v>990</v>
      </c>
      <c r="F45" s="1" t="n">
        <v>-0.5880114</v>
      </c>
      <c r="M45" s="1" t="n">
        <v>5.4</v>
      </c>
      <c r="N45" s="1" t="n">
        <f aca="false">C45-$I$3</f>
        <v>3.86868686868687</v>
      </c>
      <c r="O45" s="1" t="n">
        <f aca="false">D45-$J$3</f>
        <v>-1.4949494949495</v>
      </c>
      <c r="P45" s="1" t="n">
        <f aca="false">E45-$K$3</f>
        <v>7.5454545454545</v>
      </c>
      <c r="Q45" s="1" t="n">
        <f aca="false">Q44+N44*0.001*9.81*(M45-M44)</f>
        <v>-0.000126836363636243</v>
      </c>
    </row>
    <row r="46" customFormat="false" ht="12.8" hidden="false" customHeight="false" outlineLevel="0" collapsed="false">
      <c r="A46" s="1" t="n">
        <v>5.42</v>
      </c>
      <c r="B46" s="1" t="n">
        <v>343</v>
      </c>
      <c r="C46" s="1" t="n">
        <v>-66</v>
      </c>
      <c r="D46" s="1" t="n">
        <v>0</v>
      </c>
      <c r="E46" s="1" t="n">
        <v>975</v>
      </c>
      <c r="F46" s="1" t="n">
        <v>-0.6009606</v>
      </c>
      <c r="M46" s="1" t="n">
        <v>5.42</v>
      </c>
      <c r="N46" s="1" t="n">
        <f aca="false">C46-$I$3</f>
        <v>3.86868686868687</v>
      </c>
      <c r="O46" s="1" t="n">
        <f aca="false">D46-$J$3</f>
        <v>-1.4949494949495</v>
      </c>
      <c r="P46" s="1" t="n">
        <f aca="false">E46-$K$3</f>
        <v>-7.4545454545455</v>
      </c>
      <c r="Q46" s="1" t="n">
        <f aca="false">Q45+N45*0.001*9.81*(M46-M45)</f>
        <v>0.000632200000000104</v>
      </c>
    </row>
    <row r="47" customFormat="false" ht="12.8" hidden="false" customHeight="false" outlineLevel="0" collapsed="false">
      <c r="A47" s="1" t="n">
        <v>5.44</v>
      </c>
      <c r="B47" s="1" t="n">
        <v>344</v>
      </c>
      <c r="C47" s="1" t="n">
        <v>-66</v>
      </c>
      <c r="D47" s="1" t="n">
        <v>0</v>
      </c>
      <c r="E47" s="1" t="n">
        <v>982</v>
      </c>
      <c r="F47" s="1" t="n">
        <v>-0.6139098</v>
      </c>
      <c r="M47" s="1" t="n">
        <v>5.44</v>
      </c>
      <c r="N47" s="1" t="n">
        <f aca="false">C47-$I$3</f>
        <v>3.86868686868687</v>
      </c>
      <c r="O47" s="1" t="n">
        <f aca="false">D47-$J$3</f>
        <v>-1.4949494949495</v>
      </c>
      <c r="P47" s="1" t="n">
        <f aca="false">E47-$K$3</f>
        <v>-0.454545454545496</v>
      </c>
      <c r="Q47" s="1" t="n">
        <f aca="false">Q46+N46*0.001*9.81*(M47-M46)</f>
        <v>0.00139123636363648</v>
      </c>
    </row>
    <row r="48" customFormat="false" ht="12.8" hidden="false" customHeight="false" outlineLevel="0" collapsed="false">
      <c r="A48" s="1" t="n">
        <v>5.46</v>
      </c>
      <c r="B48" s="1" t="n">
        <v>343</v>
      </c>
      <c r="C48" s="1" t="n">
        <v>-70</v>
      </c>
      <c r="D48" s="1" t="n">
        <v>7</v>
      </c>
      <c r="E48" s="1" t="n">
        <v>986</v>
      </c>
      <c r="F48" s="1" t="n">
        <v>-0.6276438</v>
      </c>
      <c r="M48" s="1" t="n">
        <v>5.46</v>
      </c>
      <c r="N48" s="1" t="n">
        <f aca="false">C48-$I$3</f>
        <v>-0.131313131313135</v>
      </c>
      <c r="O48" s="1" t="n">
        <f aca="false">D48-$J$3</f>
        <v>5.50505050505051</v>
      </c>
      <c r="P48" s="1" t="n">
        <f aca="false">E48-$K$3</f>
        <v>3.5454545454545</v>
      </c>
      <c r="Q48" s="1" t="n">
        <f aca="false">Q47+N47*0.001*9.81*(M48-M47)</f>
        <v>0.00215027272727283</v>
      </c>
    </row>
    <row r="49" customFormat="false" ht="12.8" hidden="false" customHeight="false" outlineLevel="0" collapsed="false">
      <c r="A49" s="1" t="n">
        <v>5.48</v>
      </c>
      <c r="B49" s="1" t="n">
        <v>344</v>
      </c>
      <c r="C49" s="1" t="n">
        <v>-70</v>
      </c>
      <c r="D49" s="1" t="n">
        <v>0</v>
      </c>
      <c r="E49" s="1" t="n">
        <v>982</v>
      </c>
      <c r="F49" s="1" t="n">
        <v>-0.6413778</v>
      </c>
      <c r="M49" s="1" t="n">
        <v>5.48</v>
      </c>
      <c r="N49" s="1" t="n">
        <f aca="false">C49-$I$3</f>
        <v>-0.131313131313135</v>
      </c>
      <c r="O49" s="1" t="n">
        <f aca="false">D49-$J$3</f>
        <v>-1.4949494949495</v>
      </c>
      <c r="P49" s="1" t="n">
        <f aca="false">E49-$K$3</f>
        <v>-0.454545454545496</v>
      </c>
      <c r="Q49" s="1" t="n">
        <f aca="false">Q48+N48*0.001*9.81*(M49-M48)</f>
        <v>0.00212450909090919</v>
      </c>
    </row>
    <row r="50" customFormat="false" ht="12.8" hidden="false" customHeight="false" outlineLevel="0" collapsed="false">
      <c r="A50" s="1" t="n">
        <v>5.5</v>
      </c>
      <c r="B50" s="1" t="n">
        <v>344</v>
      </c>
      <c r="C50" s="1" t="n">
        <v>-70</v>
      </c>
      <c r="D50" s="1" t="n">
        <v>0</v>
      </c>
      <c r="E50" s="1" t="n">
        <v>982</v>
      </c>
      <c r="F50" s="1" t="n">
        <v>-0.6551118</v>
      </c>
      <c r="M50" s="1" t="n">
        <v>5.5</v>
      </c>
      <c r="N50" s="1" t="n">
        <f aca="false">C50-$I$3</f>
        <v>-0.131313131313135</v>
      </c>
      <c r="O50" s="1" t="n">
        <f aca="false">D50-$J$3</f>
        <v>-1.4949494949495</v>
      </c>
      <c r="P50" s="1" t="n">
        <f aca="false">E50-$K$3</f>
        <v>-0.454545454545496</v>
      </c>
      <c r="Q50" s="1" t="n">
        <f aca="false">Q49+N49*0.001*9.81*(M50-M49)</f>
        <v>0.00209874545454556</v>
      </c>
    </row>
    <row r="51" customFormat="false" ht="12.8" hidden="false" customHeight="false" outlineLevel="0" collapsed="false">
      <c r="A51" s="1" t="n">
        <v>5.52</v>
      </c>
      <c r="B51" s="1" t="n">
        <v>342</v>
      </c>
      <c r="C51" s="1" t="n">
        <v>-66</v>
      </c>
      <c r="D51" s="1" t="n">
        <v>3</v>
      </c>
      <c r="E51" s="1" t="n">
        <v>978</v>
      </c>
      <c r="F51" s="1" t="n">
        <v>-0.668061</v>
      </c>
      <c r="M51" s="1" t="n">
        <v>5.52</v>
      </c>
      <c r="N51" s="1" t="n">
        <f aca="false">C51-$I$3</f>
        <v>3.86868686868687</v>
      </c>
      <c r="O51" s="1" t="n">
        <f aca="false">D51-$J$3</f>
        <v>1.50505050505051</v>
      </c>
      <c r="P51" s="1" t="n">
        <f aca="false">E51-$K$3</f>
        <v>-4.4545454545455</v>
      </c>
      <c r="Q51" s="1" t="n">
        <f aca="false">Q50+N50*0.001*9.81*(M51-M50)</f>
        <v>0.00207298181818192</v>
      </c>
    </row>
    <row r="52" customFormat="false" ht="12.8" hidden="false" customHeight="false" outlineLevel="0" collapsed="false">
      <c r="A52" s="1" t="n">
        <v>5.54</v>
      </c>
      <c r="B52" s="1" t="n">
        <v>343</v>
      </c>
      <c r="C52" s="1" t="n">
        <v>-62</v>
      </c>
      <c r="D52" s="1" t="n">
        <v>3</v>
      </c>
      <c r="E52" s="1" t="n">
        <v>982</v>
      </c>
      <c r="F52" s="1" t="n">
        <v>-0.6802254</v>
      </c>
      <c r="M52" s="1" t="n">
        <v>5.54</v>
      </c>
      <c r="N52" s="1" t="n">
        <f aca="false">C52-$I$3</f>
        <v>7.86868686868687</v>
      </c>
      <c r="O52" s="1" t="n">
        <f aca="false">D52-$J$3</f>
        <v>1.50505050505051</v>
      </c>
      <c r="P52" s="1" t="n">
        <f aca="false">E52-$K$3</f>
        <v>-0.454545454545496</v>
      </c>
      <c r="Q52" s="1" t="n">
        <f aca="false">Q51+N51*0.001*9.81*(M52-M51)</f>
        <v>0.0028320181818183</v>
      </c>
    </row>
    <row r="53" customFormat="false" ht="12.8" hidden="false" customHeight="false" outlineLevel="0" collapsed="false">
      <c r="A53" s="1" t="n">
        <v>5.56</v>
      </c>
      <c r="B53" s="1" t="n">
        <v>343</v>
      </c>
      <c r="C53" s="1" t="n">
        <v>-70</v>
      </c>
      <c r="D53" s="1" t="n">
        <v>7</v>
      </c>
      <c r="E53" s="1" t="n">
        <v>990</v>
      </c>
      <c r="F53" s="1" t="n">
        <v>-0.6939594</v>
      </c>
      <c r="M53" s="1" t="n">
        <v>5.56</v>
      </c>
      <c r="N53" s="1" t="n">
        <f aca="false">C53-$I$3</f>
        <v>-0.131313131313135</v>
      </c>
      <c r="O53" s="1" t="n">
        <f aca="false">D53-$J$3</f>
        <v>5.50505050505051</v>
      </c>
      <c r="P53" s="1" t="n">
        <f aca="false">E53-$K$3</f>
        <v>7.5454545454545</v>
      </c>
      <c r="Q53" s="1" t="n">
        <f aca="false">Q52+N52*0.001*9.81*(M53-M52)</f>
        <v>0.00437585454545463</v>
      </c>
    </row>
    <row r="54" customFormat="false" ht="12.8" hidden="false" customHeight="false" outlineLevel="0" collapsed="false">
      <c r="A54" s="1" t="n">
        <v>5.58</v>
      </c>
      <c r="B54" s="1" t="n">
        <v>343</v>
      </c>
      <c r="C54" s="1" t="n">
        <v>-74</v>
      </c>
      <c r="D54" s="1" t="n">
        <v>0</v>
      </c>
      <c r="E54" s="1" t="n">
        <v>986</v>
      </c>
      <c r="F54" s="1" t="n">
        <v>-0.7084782</v>
      </c>
      <c r="M54" s="1" t="n">
        <v>5.58</v>
      </c>
      <c r="N54" s="1" t="n">
        <f aca="false">C54-$I$3</f>
        <v>-4.13131313131314</v>
      </c>
      <c r="O54" s="1" t="n">
        <f aca="false">D54-$J$3</f>
        <v>-1.4949494949495</v>
      </c>
      <c r="P54" s="1" t="n">
        <f aca="false">E54-$K$3</f>
        <v>3.5454545454545</v>
      </c>
      <c r="Q54" s="1" t="n">
        <f aca="false">Q53+N53*0.001*9.81*(M54-M53)</f>
        <v>0.00435009090909099</v>
      </c>
    </row>
    <row r="55" customFormat="false" ht="12.8" hidden="false" customHeight="false" outlineLevel="0" collapsed="false">
      <c r="A55" s="1" t="n">
        <v>5.6</v>
      </c>
      <c r="B55" s="1" t="n">
        <v>343</v>
      </c>
      <c r="C55" s="1" t="n">
        <v>-70</v>
      </c>
      <c r="D55" s="1" t="n">
        <v>3</v>
      </c>
      <c r="E55" s="1" t="n">
        <v>982</v>
      </c>
      <c r="F55" s="1" t="n">
        <v>-0.7222122</v>
      </c>
      <c r="M55" s="1" t="n">
        <v>5.6</v>
      </c>
      <c r="N55" s="1" t="n">
        <f aca="false">C55-$I$3</f>
        <v>-0.131313131313135</v>
      </c>
      <c r="O55" s="1" t="n">
        <f aca="false">D55-$J$3</f>
        <v>1.50505050505051</v>
      </c>
      <c r="P55" s="1" t="n">
        <f aca="false">E55-$K$3</f>
        <v>-0.454545454545496</v>
      </c>
      <c r="Q55" s="1" t="n">
        <f aca="false">Q54+N54*0.001*9.81*(M55-M54)</f>
        <v>0.00353952727272737</v>
      </c>
    </row>
    <row r="56" customFormat="false" ht="12.8" hidden="false" customHeight="false" outlineLevel="0" collapsed="false">
      <c r="A56" s="1" t="n">
        <v>5.62</v>
      </c>
      <c r="B56" s="1" t="n">
        <v>345</v>
      </c>
      <c r="C56" s="1" t="n">
        <v>-62</v>
      </c>
      <c r="D56" s="1" t="n">
        <v>3</v>
      </c>
      <c r="E56" s="1" t="n">
        <v>982</v>
      </c>
      <c r="F56" s="1" t="n">
        <v>-0.7343766</v>
      </c>
      <c r="M56" s="1" t="n">
        <v>5.62</v>
      </c>
      <c r="N56" s="1" t="n">
        <f aca="false">C56-$I$3</f>
        <v>7.86868686868687</v>
      </c>
      <c r="O56" s="1" t="n">
        <f aca="false">D56-$J$3</f>
        <v>1.50505050505051</v>
      </c>
      <c r="P56" s="1" t="n">
        <f aca="false">E56-$K$3</f>
        <v>-0.454545454545496</v>
      </c>
      <c r="Q56" s="1" t="n">
        <f aca="false">Q55+N55*0.001*9.81*(M56-M55)</f>
        <v>0.00351376363636373</v>
      </c>
    </row>
    <row r="57" customFormat="false" ht="12.8" hidden="false" customHeight="false" outlineLevel="0" collapsed="false">
      <c r="A57" s="1" t="n">
        <v>5.64</v>
      </c>
      <c r="B57" s="1" t="n">
        <v>344</v>
      </c>
      <c r="C57" s="1" t="n">
        <v>-70</v>
      </c>
      <c r="D57" s="1" t="n">
        <v>7</v>
      </c>
      <c r="E57" s="1" t="n">
        <v>982</v>
      </c>
      <c r="F57" s="1" t="n">
        <v>-0.7481106</v>
      </c>
      <c r="M57" s="1" t="n">
        <v>5.64</v>
      </c>
      <c r="N57" s="1" t="n">
        <f aca="false">C57-$I$3</f>
        <v>-0.131313131313135</v>
      </c>
      <c r="O57" s="1" t="n">
        <f aca="false">D57-$J$3</f>
        <v>5.50505050505051</v>
      </c>
      <c r="P57" s="1" t="n">
        <f aca="false">E57-$K$3</f>
        <v>-0.454545454545496</v>
      </c>
      <c r="Q57" s="1" t="n">
        <f aca="false">Q56+N56*0.001*9.81*(M57-M56)</f>
        <v>0.00505760000000006</v>
      </c>
    </row>
    <row r="58" customFormat="false" ht="12.8" hidden="false" customHeight="false" outlineLevel="0" collapsed="false">
      <c r="A58" s="1" t="n">
        <v>5.66</v>
      </c>
      <c r="B58" s="1" t="n">
        <v>344</v>
      </c>
      <c r="C58" s="1" t="n">
        <v>-70</v>
      </c>
      <c r="D58" s="1" t="n">
        <v>7</v>
      </c>
      <c r="E58" s="1" t="n">
        <v>986</v>
      </c>
      <c r="F58" s="1" t="n">
        <v>-0.7618446</v>
      </c>
      <c r="M58" s="1" t="n">
        <v>5.66</v>
      </c>
      <c r="N58" s="1" t="n">
        <f aca="false">C58-$I$3</f>
        <v>-0.131313131313135</v>
      </c>
      <c r="O58" s="1" t="n">
        <f aca="false">D58-$J$3</f>
        <v>5.50505050505051</v>
      </c>
      <c r="P58" s="1" t="n">
        <f aca="false">E58-$K$3</f>
        <v>3.5454545454545</v>
      </c>
      <c r="Q58" s="1" t="n">
        <f aca="false">Q57+N57*0.001*9.81*(M58-M57)</f>
        <v>0.00503183636363643</v>
      </c>
    </row>
    <row r="59" customFormat="false" ht="12.8" hidden="false" customHeight="false" outlineLevel="0" collapsed="false">
      <c r="A59" s="1" t="n">
        <v>5.68</v>
      </c>
      <c r="B59" s="1" t="n">
        <v>344</v>
      </c>
      <c r="C59" s="1" t="n">
        <v>-74</v>
      </c>
      <c r="D59" s="1" t="n">
        <v>0</v>
      </c>
      <c r="E59" s="1" t="n">
        <v>975</v>
      </c>
      <c r="F59" s="1" t="n">
        <v>-0.7763634</v>
      </c>
      <c r="M59" s="1" t="n">
        <v>5.68</v>
      </c>
      <c r="N59" s="1" t="n">
        <f aca="false">C59-$I$3</f>
        <v>-4.13131313131314</v>
      </c>
      <c r="O59" s="1" t="n">
        <f aca="false">D59-$J$3</f>
        <v>-1.4949494949495</v>
      </c>
      <c r="P59" s="1" t="n">
        <f aca="false">E59-$K$3</f>
        <v>-7.4545454545455</v>
      </c>
      <c r="Q59" s="1" t="n">
        <f aca="false">Q58+N58*0.001*9.81*(M59-M58)</f>
        <v>0.00500607272727279</v>
      </c>
    </row>
    <row r="60" customFormat="false" ht="12.8" hidden="false" customHeight="false" outlineLevel="0" collapsed="false">
      <c r="A60" s="1" t="n">
        <v>5.7</v>
      </c>
      <c r="B60" s="1" t="n">
        <v>344</v>
      </c>
      <c r="C60" s="1" t="n">
        <v>-74</v>
      </c>
      <c r="D60" s="1" t="n">
        <v>0</v>
      </c>
      <c r="E60" s="1" t="n">
        <v>978</v>
      </c>
      <c r="F60" s="1" t="n">
        <v>-0.7908822</v>
      </c>
      <c r="M60" s="1" t="n">
        <v>5.7</v>
      </c>
      <c r="N60" s="1" t="n">
        <f aca="false">C60-$I$3</f>
        <v>-4.13131313131314</v>
      </c>
      <c r="O60" s="1" t="n">
        <f aca="false">D60-$J$3</f>
        <v>-1.4949494949495</v>
      </c>
      <c r="P60" s="1" t="n">
        <f aca="false">E60-$K$3</f>
        <v>-4.4545454545455</v>
      </c>
      <c r="Q60" s="1" t="n">
        <f aca="false">Q59+N59*0.001*9.81*(M60-M59)</f>
        <v>0.00419550909090913</v>
      </c>
    </row>
    <row r="61" customFormat="false" ht="12.8" hidden="false" customHeight="false" outlineLevel="0" collapsed="false">
      <c r="A61" s="1" t="n">
        <v>5.72</v>
      </c>
      <c r="B61" s="1" t="n">
        <v>343</v>
      </c>
      <c r="C61" s="1" t="n">
        <v>-74</v>
      </c>
      <c r="D61" s="1" t="n">
        <v>0</v>
      </c>
      <c r="E61" s="1" t="n">
        <v>978</v>
      </c>
      <c r="F61" s="1" t="n">
        <v>-0.805401</v>
      </c>
      <c r="M61" s="1" t="n">
        <v>5.72</v>
      </c>
      <c r="N61" s="1" t="n">
        <f aca="false">C61-$I$3</f>
        <v>-4.13131313131314</v>
      </c>
      <c r="O61" s="1" t="n">
        <f aca="false">D61-$J$3</f>
        <v>-1.4949494949495</v>
      </c>
      <c r="P61" s="1" t="n">
        <f aca="false">E61-$K$3</f>
        <v>-4.4545454545455</v>
      </c>
      <c r="Q61" s="1" t="n">
        <f aca="false">Q60+N60*0.001*9.81*(M61-M60)</f>
        <v>0.00338494545454551</v>
      </c>
    </row>
    <row r="62" customFormat="false" ht="12.8" hidden="false" customHeight="false" outlineLevel="0" collapsed="false">
      <c r="A62" s="1" t="n">
        <v>5.74</v>
      </c>
      <c r="B62" s="1" t="n">
        <v>343</v>
      </c>
      <c r="C62" s="1" t="n">
        <v>-70</v>
      </c>
      <c r="D62" s="1" t="n">
        <v>3</v>
      </c>
      <c r="E62" s="1" t="n">
        <v>975</v>
      </c>
      <c r="F62" s="1" t="n">
        <v>-0.819135000000001</v>
      </c>
      <c r="M62" s="1" t="n">
        <v>5.74</v>
      </c>
      <c r="N62" s="1" t="n">
        <f aca="false">C62-$I$3</f>
        <v>-0.131313131313135</v>
      </c>
      <c r="O62" s="1" t="n">
        <f aca="false">D62-$J$3</f>
        <v>1.50505050505051</v>
      </c>
      <c r="P62" s="1" t="n">
        <f aca="false">E62-$K$3</f>
        <v>-7.4545454545455</v>
      </c>
      <c r="Q62" s="1" t="n">
        <f aca="false">Q61+N61*0.001*9.81*(M62-M61)</f>
        <v>0.00257438181818186</v>
      </c>
    </row>
    <row r="63" customFormat="false" ht="12.8" hidden="false" customHeight="false" outlineLevel="0" collapsed="false">
      <c r="A63" s="1" t="n">
        <v>5.76</v>
      </c>
      <c r="B63" s="1" t="n">
        <v>344</v>
      </c>
      <c r="C63" s="1" t="n">
        <v>-74</v>
      </c>
      <c r="D63" s="1" t="n">
        <v>3</v>
      </c>
      <c r="E63" s="1" t="n">
        <v>986</v>
      </c>
      <c r="F63" s="1" t="n">
        <v>-0.8336538</v>
      </c>
      <c r="M63" s="1" t="n">
        <v>5.76</v>
      </c>
      <c r="N63" s="1" t="n">
        <f aca="false">C63-$I$3</f>
        <v>-4.13131313131314</v>
      </c>
      <c r="O63" s="1" t="n">
        <f aca="false">D63-$J$3</f>
        <v>1.50505050505051</v>
      </c>
      <c r="P63" s="1" t="n">
        <f aca="false">E63-$K$3</f>
        <v>3.5454545454545</v>
      </c>
      <c r="Q63" s="1" t="n">
        <f aca="false">Q62+N62*0.001*9.81*(M63-M62)</f>
        <v>0.00254861818181822</v>
      </c>
    </row>
    <row r="64" customFormat="false" ht="12.8" hidden="false" customHeight="false" outlineLevel="0" collapsed="false">
      <c r="A64" s="1" t="n">
        <v>5.78</v>
      </c>
      <c r="B64" s="1" t="n">
        <v>344</v>
      </c>
      <c r="C64" s="1" t="n">
        <v>-70</v>
      </c>
      <c r="D64" s="1" t="n">
        <v>0</v>
      </c>
      <c r="E64" s="1" t="n">
        <v>978</v>
      </c>
      <c r="F64" s="1" t="n">
        <v>-0.847387800000001</v>
      </c>
      <c r="M64" s="1" t="n">
        <v>5.78</v>
      </c>
      <c r="N64" s="1" t="n">
        <f aca="false">C64-$I$3</f>
        <v>-0.131313131313135</v>
      </c>
      <c r="O64" s="1" t="n">
        <f aca="false">D64-$J$3</f>
        <v>-1.4949494949495</v>
      </c>
      <c r="P64" s="1" t="n">
        <f aca="false">E64-$K$3</f>
        <v>-4.4545454545455</v>
      </c>
      <c r="Q64" s="1" t="n">
        <f aca="false">Q63+N63*0.001*9.81*(M64-M63)</f>
        <v>0.00173805454545457</v>
      </c>
    </row>
    <row r="65" customFormat="false" ht="12.8" hidden="false" customHeight="false" outlineLevel="0" collapsed="false">
      <c r="A65" s="1" t="n">
        <v>5.8</v>
      </c>
      <c r="B65" s="1" t="n">
        <v>343</v>
      </c>
      <c r="C65" s="1" t="n">
        <v>-74</v>
      </c>
      <c r="D65" s="1" t="n">
        <v>3</v>
      </c>
      <c r="E65" s="1" t="n">
        <v>986</v>
      </c>
      <c r="F65" s="1" t="n">
        <v>-0.8619066</v>
      </c>
      <c r="M65" s="1" t="n">
        <v>5.8</v>
      </c>
      <c r="N65" s="1" t="n">
        <f aca="false">C65-$I$3</f>
        <v>-4.13131313131314</v>
      </c>
      <c r="O65" s="1" t="n">
        <f aca="false">D65-$J$3</f>
        <v>1.50505050505051</v>
      </c>
      <c r="P65" s="1" t="n">
        <f aca="false">E65-$K$3</f>
        <v>3.5454545454545</v>
      </c>
      <c r="Q65" s="1" t="n">
        <f aca="false">Q64+N64*0.001*9.81*(M65-M64)</f>
        <v>0.00171229090909093</v>
      </c>
    </row>
    <row r="66" customFormat="false" ht="12.8" hidden="false" customHeight="false" outlineLevel="0" collapsed="false">
      <c r="A66" s="1" t="n">
        <v>5.82</v>
      </c>
      <c r="B66" s="1" t="n">
        <v>343</v>
      </c>
      <c r="C66" s="1" t="n">
        <v>-74</v>
      </c>
      <c r="D66" s="1" t="n">
        <v>0</v>
      </c>
      <c r="E66" s="1" t="n">
        <v>982</v>
      </c>
      <c r="F66" s="1" t="n">
        <v>-0.876425400000001</v>
      </c>
      <c r="M66" s="1" t="n">
        <v>5.82</v>
      </c>
      <c r="N66" s="1" t="n">
        <f aca="false">C66-$I$3</f>
        <v>-4.13131313131314</v>
      </c>
      <c r="O66" s="1" t="n">
        <f aca="false">D66-$J$3</f>
        <v>-1.4949494949495</v>
      </c>
      <c r="P66" s="1" t="n">
        <f aca="false">E66-$K$3</f>
        <v>-0.454545454545496</v>
      </c>
      <c r="Q66" s="1" t="n">
        <f aca="false">Q65+N65*0.001*9.81*(M66-M65)</f>
        <v>0.000901727272727273</v>
      </c>
    </row>
    <row r="67" customFormat="false" ht="12.8" hidden="false" customHeight="false" outlineLevel="0" collapsed="false">
      <c r="A67" s="1" t="n">
        <v>5.84</v>
      </c>
      <c r="B67" s="1" t="n">
        <v>344</v>
      </c>
      <c r="C67" s="1" t="n">
        <v>-62</v>
      </c>
      <c r="D67" s="1" t="n">
        <v>3</v>
      </c>
      <c r="E67" s="1" t="n">
        <v>978</v>
      </c>
      <c r="F67" s="1" t="n">
        <v>-0.8885898</v>
      </c>
      <c r="M67" s="1" t="n">
        <v>5.84</v>
      </c>
      <c r="N67" s="1" t="n">
        <f aca="false">C67-$I$3</f>
        <v>7.86868686868687</v>
      </c>
      <c r="O67" s="1" t="n">
        <f aca="false">D67-$J$3</f>
        <v>1.50505050505051</v>
      </c>
      <c r="P67" s="1" t="n">
        <f aca="false">E67-$K$3</f>
        <v>-4.4545454545455</v>
      </c>
      <c r="Q67" s="1" t="n">
        <f aca="false">Q66+N66*0.001*9.81*(M67-M66)</f>
        <v>9.11636363636525E-005</v>
      </c>
    </row>
    <row r="68" customFormat="false" ht="12.8" hidden="false" customHeight="false" outlineLevel="0" collapsed="false">
      <c r="A68" s="1" t="n">
        <v>5.86</v>
      </c>
      <c r="B68" s="1" t="n">
        <v>343</v>
      </c>
      <c r="C68" s="1" t="n">
        <v>-74</v>
      </c>
      <c r="D68" s="1" t="n">
        <v>11</v>
      </c>
      <c r="E68" s="1" t="n">
        <v>982</v>
      </c>
      <c r="F68" s="1" t="n">
        <v>-0.903108600000001</v>
      </c>
      <c r="M68" s="1" t="n">
        <v>5.86</v>
      </c>
      <c r="N68" s="1" t="n">
        <f aca="false">C68-$I$3</f>
        <v>-4.13131313131314</v>
      </c>
      <c r="O68" s="1" t="n">
        <f aca="false">D68-$J$3</f>
        <v>9.50505050505051</v>
      </c>
      <c r="P68" s="1" t="n">
        <f aca="false">E68-$K$3</f>
        <v>-0.454545454545496</v>
      </c>
      <c r="Q68" s="1" t="n">
        <f aca="false">Q67+N67*0.001*9.81*(M68-M67)</f>
        <v>0.00163500000000005</v>
      </c>
    </row>
    <row r="69" customFormat="false" ht="12.8" hidden="false" customHeight="false" outlineLevel="0" collapsed="false">
      <c r="A69" s="1" t="n">
        <v>5.88</v>
      </c>
      <c r="B69" s="1" t="n">
        <v>343</v>
      </c>
      <c r="C69" s="1" t="n">
        <v>-62</v>
      </c>
      <c r="D69" s="1" t="n">
        <v>3</v>
      </c>
      <c r="E69" s="1" t="n">
        <v>978</v>
      </c>
      <c r="F69" s="1" t="n">
        <v>-0.915273000000001</v>
      </c>
      <c r="M69" s="1" t="n">
        <v>5.88</v>
      </c>
      <c r="N69" s="1" t="n">
        <f aca="false">C69-$I$3</f>
        <v>7.86868686868687</v>
      </c>
      <c r="O69" s="1" t="n">
        <f aca="false">D69-$J$3</f>
        <v>1.50505050505051</v>
      </c>
      <c r="P69" s="1" t="n">
        <f aca="false">E69-$K$3</f>
        <v>-4.4545454545455</v>
      </c>
      <c r="Q69" s="1" t="n">
        <f aca="false">Q68+N68*0.001*9.81*(M69-M68)</f>
        <v>0.000824436363636431</v>
      </c>
    </row>
    <row r="70" customFormat="false" ht="12.8" hidden="false" customHeight="false" outlineLevel="0" collapsed="false">
      <c r="A70" s="1" t="n">
        <v>5.9</v>
      </c>
      <c r="B70" s="1" t="n">
        <v>343</v>
      </c>
      <c r="C70" s="1" t="n">
        <v>-70</v>
      </c>
      <c r="D70" s="1" t="n">
        <v>0</v>
      </c>
      <c r="E70" s="1" t="n">
        <v>978</v>
      </c>
      <c r="F70" s="1" t="n">
        <v>-0.929007000000001</v>
      </c>
      <c r="M70" s="1" t="n">
        <v>5.9</v>
      </c>
      <c r="N70" s="1" t="n">
        <f aca="false">C70-$I$3</f>
        <v>-0.131313131313135</v>
      </c>
      <c r="O70" s="1" t="n">
        <f aca="false">D70-$J$3</f>
        <v>-1.4949494949495</v>
      </c>
      <c r="P70" s="1" t="n">
        <f aca="false">E70-$K$3</f>
        <v>-4.4545454545455</v>
      </c>
      <c r="Q70" s="1" t="n">
        <f aca="false">Q69+N69*0.001*9.81*(M70-M69)</f>
        <v>0.00236827272727283</v>
      </c>
    </row>
    <row r="71" customFormat="false" ht="12.8" hidden="false" customHeight="false" outlineLevel="0" collapsed="false">
      <c r="A71" s="1" t="n">
        <v>5.92</v>
      </c>
      <c r="B71" s="1" t="n">
        <v>344</v>
      </c>
      <c r="C71" s="1" t="n">
        <v>-74</v>
      </c>
      <c r="D71" s="1" t="n">
        <v>7</v>
      </c>
      <c r="E71" s="1" t="n">
        <v>986</v>
      </c>
      <c r="F71" s="1" t="n">
        <v>-0.943525800000001</v>
      </c>
      <c r="M71" s="1" t="n">
        <v>5.92</v>
      </c>
      <c r="N71" s="1" t="n">
        <f aca="false">C71-$I$3</f>
        <v>-4.13131313131314</v>
      </c>
      <c r="O71" s="1" t="n">
        <f aca="false">D71-$J$3</f>
        <v>5.50505050505051</v>
      </c>
      <c r="P71" s="1" t="n">
        <f aca="false">E71-$K$3</f>
        <v>3.5454545454545</v>
      </c>
      <c r="Q71" s="1" t="n">
        <f aca="false">Q70+N70*0.001*9.81*(M71-M70)</f>
        <v>0.00234250909090919</v>
      </c>
    </row>
    <row r="72" customFormat="false" ht="12.8" hidden="false" customHeight="false" outlineLevel="0" collapsed="false">
      <c r="A72" s="1" t="n">
        <v>5.94</v>
      </c>
      <c r="B72" s="1" t="n">
        <v>344</v>
      </c>
      <c r="C72" s="1" t="n">
        <v>-78</v>
      </c>
      <c r="D72" s="1" t="n">
        <v>3</v>
      </c>
      <c r="E72" s="1" t="n">
        <v>982</v>
      </c>
      <c r="F72" s="1" t="n">
        <v>-0.958829400000001</v>
      </c>
      <c r="M72" s="1" t="n">
        <v>5.94</v>
      </c>
      <c r="N72" s="1" t="n">
        <f aca="false">C72-$I$3</f>
        <v>-8.13131313131314</v>
      </c>
      <c r="O72" s="1" t="n">
        <f aca="false">D72-$J$3</f>
        <v>1.50505050505051</v>
      </c>
      <c r="P72" s="1" t="n">
        <f aca="false">E72-$K$3</f>
        <v>-0.454545454545496</v>
      </c>
      <c r="Q72" s="1" t="n">
        <f aca="false">Q71+N71*0.001*9.81*(M72-M71)</f>
        <v>0.00153194545454554</v>
      </c>
    </row>
    <row r="73" customFormat="false" ht="12.8" hidden="false" customHeight="false" outlineLevel="0" collapsed="false">
      <c r="A73" s="1" t="n">
        <v>5.96</v>
      </c>
      <c r="B73" s="1" t="n">
        <v>344</v>
      </c>
      <c r="C73" s="1" t="n">
        <v>-62</v>
      </c>
      <c r="D73" s="1" t="n">
        <v>0</v>
      </c>
      <c r="E73" s="1" t="n">
        <v>975</v>
      </c>
      <c r="F73" s="1" t="n">
        <v>-0.970993800000001</v>
      </c>
      <c r="M73" s="1" t="n">
        <v>5.96</v>
      </c>
      <c r="N73" s="1" t="n">
        <f aca="false">C73-$I$3</f>
        <v>7.86868686868687</v>
      </c>
      <c r="O73" s="1" t="n">
        <f aca="false">D73-$J$3</f>
        <v>-1.4949494949495</v>
      </c>
      <c r="P73" s="1" t="n">
        <f aca="false">E73-$K$3</f>
        <v>-7.4545454545455</v>
      </c>
      <c r="Q73" s="1" t="n">
        <f aca="false">Q72+N72*0.001*9.81*(M73-M72)</f>
        <v>-6.34181818180656E-005</v>
      </c>
    </row>
    <row r="74" customFormat="false" ht="12.8" hidden="false" customHeight="false" outlineLevel="0" collapsed="false">
      <c r="A74" s="1" t="n">
        <v>5.98</v>
      </c>
      <c r="B74" s="1" t="n">
        <v>343</v>
      </c>
      <c r="C74" s="1" t="n">
        <v>-70</v>
      </c>
      <c r="D74" s="1" t="n">
        <v>0</v>
      </c>
      <c r="E74" s="1" t="n">
        <v>986</v>
      </c>
      <c r="F74" s="1" t="n">
        <v>-0.984727800000001</v>
      </c>
      <c r="M74" s="1" t="n">
        <v>5.98</v>
      </c>
      <c r="N74" s="1" t="n">
        <f aca="false">C74-$I$3</f>
        <v>-0.131313131313135</v>
      </c>
      <c r="O74" s="1" t="n">
        <f aca="false">D74-$J$3</f>
        <v>-1.4949494949495</v>
      </c>
      <c r="P74" s="1" t="n">
        <f aca="false">E74-$K$3</f>
        <v>3.5454545454545</v>
      </c>
      <c r="Q74" s="1" t="n">
        <f aca="false">Q73+N73*0.001*9.81*(M74-M73)</f>
        <v>0.00148041818181833</v>
      </c>
    </row>
    <row r="75" customFormat="false" ht="12.8" hidden="false" customHeight="false" outlineLevel="0" collapsed="false">
      <c r="A75" s="1" t="n">
        <v>6</v>
      </c>
      <c r="B75" s="1" t="n">
        <v>344</v>
      </c>
      <c r="C75" s="1" t="n">
        <v>-70</v>
      </c>
      <c r="D75" s="1" t="n">
        <v>7</v>
      </c>
      <c r="E75" s="1" t="n">
        <v>978</v>
      </c>
      <c r="F75" s="1" t="n">
        <v>-0.998461800000001</v>
      </c>
      <c r="M75" s="1" t="n">
        <v>6</v>
      </c>
      <c r="N75" s="1" t="n">
        <f aca="false">C75-$I$3</f>
        <v>-0.131313131313135</v>
      </c>
      <c r="O75" s="1" t="n">
        <f aca="false">D75-$J$3</f>
        <v>5.50505050505051</v>
      </c>
      <c r="P75" s="1" t="n">
        <f aca="false">E75-$K$3</f>
        <v>-4.4545454545455</v>
      </c>
      <c r="Q75" s="1" t="n">
        <f aca="false">Q74+N74*0.001*9.81*(M75-M74)</f>
        <v>0.0014546545454547</v>
      </c>
    </row>
    <row r="76" customFormat="false" ht="12.8" hidden="false" customHeight="false" outlineLevel="0" collapsed="false">
      <c r="A76" s="1" t="n">
        <v>6.02</v>
      </c>
      <c r="B76" s="1" t="n">
        <v>345</v>
      </c>
      <c r="C76" s="1" t="n">
        <v>-74</v>
      </c>
      <c r="D76" s="1" t="n">
        <v>0</v>
      </c>
      <c r="E76" s="1" t="n">
        <v>986</v>
      </c>
      <c r="F76" s="1" t="n">
        <v>-1.0129806</v>
      </c>
      <c r="M76" s="1" t="n">
        <v>6.02</v>
      </c>
      <c r="N76" s="1" t="n">
        <f aca="false">C76-$I$3</f>
        <v>-4.13131313131314</v>
      </c>
      <c r="O76" s="1" t="n">
        <f aca="false">D76-$J$3</f>
        <v>-1.4949494949495</v>
      </c>
      <c r="P76" s="1" t="n">
        <f aca="false">E76-$K$3</f>
        <v>3.5454545454545</v>
      </c>
      <c r="Q76" s="1" t="n">
        <f aca="false">Q75+N75*0.001*9.81*(M76-M75)</f>
        <v>0.00142889090909106</v>
      </c>
    </row>
    <row r="77" customFormat="false" ht="12.8" hidden="false" customHeight="false" outlineLevel="0" collapsed="false">
      <c r="A77" s="1" t="n">
        <v>6.04</v>
      </c>
      <c r="B77" s="1" t="n">
        <v>344</v>
      </c>
      <c r="C77" s="1" t="n">
        <v>-70</v>
      </c>
      <c r="D77" s="1" t="n">
        <v>-3</v>
      </c>
      <c r="E77" s="1" t="n">
        <v>982</v>
      </c>
      <c r="F77" s="1" t="n">
        <v>-1.0267146</v>
      </c>
      <c r="M77" s="1" t="n">
        <v>6.04</v>
      </c>
      <c r="N77" s="1" t="n">
        <f aca="false">C77-$I$3</f>
        <v>-0.131313131313135</v>
      </c>
      <c r="O77" s="1" t="n">
        <f aca="false">D77-$J$3</f>
        <v>-4.4949494949495</v>
      </c>
      <c r="P77" s="1" t="n">
        <f aca="false">E77-$K$3</f>
        <v>-0.454545454545496</v>
      </c>
      <c r="Q77" s="1" t="n">
        <f aca="false">Q76+N76*0.001*9.81*(M77-M76)</f>
        <v>0.000618327272727404</v>
      </c>
    </row>
    <row r="78" customFormat="false" ht="12.8" hidden="false" customHeight="false" outlineLevel="0" collapsed="false">
      <c r="A78" s="1" t="n">
        <v>6.06</v>
      </c>
      <c r="B78" s="1" t="n">
        <v>342</v>
      </c>
      <c r="C78" s="1" t="n">
        <v>-70</v>
      </c>
      <c r="D78" s="1" t="n">
        <v>-3</v>
      </c>
      <c r="E78" s="1" t="n">
        <v>982</v>
      </c>
      <c r="F78" s="1" t="n">
        <v>-1.0404486</v>
      </c>
      <c r="M78" s="1" t="n">
        <v>6.06</v>
      </c>
      <c r="N78" s="1" t="n">
        <f aca="false">C78-$I$3</f>
        <v>-0.131313131313135</v>
      </c>
      <c r="O78" s="1" t="n">
        <f aca="false">D78-$J$3</f>
        <v>-4.4949494949495</v>
      </c>
      <c r="P78" s="1" t="n">
        <f aca="false">E78-$K$3</f>
        <v>-0.454545454545496</v>
      </c>
      <c r="Q78" s="1" t="n">
        <f aca="false">Q77+N77*0.001*9.81*(M78-M77)</f>
        <v>0.000592563636363768</v>
      </c>
    </row>
    <row r="79" customFormat="false" ht="12.8" hidden="false" customHeight="false" outlineLevel="0" collapsed="false">
      <c r="A79" s="1" t="n">
        <v>6.08</v>
      </c>
      <c r="B79" s="1" t="n">
        <v>344</v>
      </c>
      <c r="C79" s="1" t="n">
        <v>-66</v>
      </c>
      <c r="D79" s="1" t="n">
        <v>0</v>
      </c>
      <c r="E79" s="1" t="n">
        <v>986</v>
      </c>
      <c r="F79" s="1" t="n">
        <v>-1.0533978</v>
      </c>
      <c r="M79" s="1" t="n">
        <v>6.08</v>
      </c>
      <c r="N79" s="1" t="n">
        <f aca="false">C79-$I$3</f>
        <v>3.86868686868687</v>
      </c>
      <c r="O79" s="1" t="n">
        <f aca="false">D79-$J$3</f>
        <v>-1.4949494949495</v>
      </c>
      <c r="P79" s="1" t="n">
        <f aca="false">E79-$K$3</f>
        <v>3.5454545454545</v>
      </c>
      <c r="Q79" s="1" t="n">
        <f aca="false">Q78+N78*0.001*9.81*(M79-M78)</f>
        <v>0.00056680000000013</v>
      </c>
    </row>
    <row r="80" customFormat="false" ht="12.8" hidden="false" customHeight="false" outlineLevel="0" collapsed="false">
      <c r="A80" s="1" t="n">
        <v>6.1</v>
      </c>
      <c r="B80" s="1" t="n">
        <v>344</v>
      </c>
      <c r="C80" s="1" t="n">
        <v>-70</v>
      </c>
      <c r="D80" s="1" t="n">
        <v>0</v>
      </c>
      <c r="E80" s="1" t="n">
        <v>978</v>
      </c>
      <c r="F80" s="1" t="n">
        <v>-1.0671318</v>
      </c>
      <c r="M80" s="1" t="n">
        <v>6.1</v>
      </c>
      <c r="N80" s="1" t="n">
        <f aca="false">C80-$I$3</f>
        <v>-0.131313131313135</v>
      </c>
      <c r="O80" s="1" t="n">
        <f aca="false">D80-$J$3</f>
        <v>-1.4949494949495</v>
      </c>
      <c r="P80" s="1" t="n">
        <f aca="false">E80-$K$3</f>
        <v>-4.4545454545455</v>
      </c>
      <c r="Q80" s="1" t="n">
        <f aca="false">Q79+N79*0.001*9.81*(M80-M79)</f>
        <v>0.00132583636363648</v>
      </c>
    </row>
    <row r="81" customFormat="false" ht="12.8" hidden="false" customHeight="false" outlineLevel="0" collapsed="false">
      <c r="A81" s="1" t="n">
        <v>6.12</v>
      </c>
      <c r="B81" s="1" t="n">
        <v>343</v>
      </c>
      <c r="C81" s="1" t="n">
        <v>-62</v>
      </c>
      <c r="D81" s="1" t="n">
        <v>3</v>
      </c>
      <c r="E81" s="1" t="n">
        <v>982</v>
      </c>
      <c r="F81" s="1" t="n">
        <v>-1.0792962</v>
      </c>
      <c r="M81" s="1" t="n">
        <v>6.12</v>
      </c>
      <c r="N81" s="1" t="n">
        <f aca="false">C81-$I$3</f>
        <v>7.86868686868687</v>
      </c>
      <c r="O81" s="1" t="n">
        <f aca="false">D81-$J$3</f>
        <v>1.50505050505051</v>
      </c>
      <c r="P81" s="1" t="n">
        <f aca="false">E81-$K$3</f>
        <v>-0.454545454545496</v>
      </c>
      <c r="Q81" s="1" t="n">
        <f aca="false">Q80+N80*0.001*9.81*(M81-M80)</f>
        <v>0.00130007272727284</v>
      </c>
    </row>
    <row r="82" customFormat="false" ht="12.8" hidden="false" customHeight="false" outlineLevel="0" collapsed="false">
      <c r="A82" s="1" t="n">
        <v>6.14</v>
      </c>
      <c r="B82" s="1" t="n">
        <v>343</v>
      </c>
      <c r="C82" s="1" t="n">
        <v>-70</v>
      </c>
      <c r="D82" s="1" t="n">
        <v>0</v>
      </c>
      <c r="E82" s="1" t="n">
        <v>982</v>
      </c>
      <c r="F82" s="1" t="n">
        <v>-1.0930302</v>
      </c>
      <c r="M82" s="1" t="n">
        <v>6.14</v>
      </c>
      <c r="N82" s="1" t="n">
        <f aca="false">C82-$I$3</f>
        <v>-0.131313131313135</v>
      </c>
      <c r="O82" s="1" t="n">
        <f aca="false">D82-$J$3</f>
        <v>-1.4949494949495</v>
      </c>
      <c r="P82" s="1" t="n">
        <f aca="false">E82-$K$3</f>
        <v>-0.454545454545496</v>
      </c>
      <c r="Q82" s="1" t="n">
        <f aca="false">Q81+N81*0.001*9.81*(M82-M81)</f>
        <v>0.00284390909090917</v>
      </c>
    </row>
    <row r="83" customFormat="false" ht="12.8" hidden="false" customHeight="false" outlineLevel="0" collapsed="false">
      <c r="A83" s="1" t="n">
        <v>6.16</v>
      </c>
      <c r="B83" s="1" t="n">
        <v>344</v>
      </c>
      <c r="C83" s="1" t="n">
        <v>-70</v>
      </c>
      <c r="D83" s="1" t="n">
        <v>3</v>
      </c>
      <c r="E83" s="1" t="n">
        <v>982</v>
      </c>
      <c r="F83" s="1" t="n">
        <v>-1.1067642</v>
      </c>
      <c r="M83" s="1" t="n">
        <v>6.16</v>
      </c>
      <c r="N83" s="1" t="n">
        <f aca="false">C83-$I$3</f>
        <v>-0.131313131313135</v>
      </c>
      <c r="O83" s="1" t="n">
        <f aca="false">D83-$J$3</f>
        <v>1.50505050505051</v>
      </c>
      <c r="P83" s="1" t="n">
        <f aca="false">E83-$K$3</f>
        <v>-0.454545454545496</v>
      </c>
      <c r="Q83" s="1" t="n">
        <f aca="false">Q82+N82*0.001*9.81*(M83-M82)</f>
        <v>0.00281814545454553</v>
      </c>
    </row>
    <row r="84" customFormat="false" ht="12.8" hidden="false" customHeight="false" outlineLevel="0" collapsed="false">
      <c r="A84" s="1" t="n">
        <v>6.18</v>
      </c>
      <c r="B84" s="1" t="n">
        <v>343</v>
      </c>
      <c r="C84" s="1" t="n">
        <v>-70</v>
      </c>
      <c r="D84" s="1" t="n">
        <v>3</v>
      </c>
      <c r="E84" s="1" t="n">
        <v>975</v>
      </c>
      <c r="F84" s="1" t="n">
        <v>-1.1204982</v>
      </c>
      <c r="M84" s="1" t="n">
        <v>6.18</v>
      </c>
      <c r="N84" s="1" t="n">
        <f aca="false">C84-$I$3</f>
        <v>-0.131313131313135</v>
      </c>
      <c r="O84" s="1" t="n">
        <f aca="false">D84-$J$3</f>
        <v>1.50505050505051</v>
      </c>
      <c r="P84" s="1" t="n">
        <f aca="false">E84-$K$3</f>
        <v>-7.4545454545455</v>
      </c>
      <c r="Q84" s="1" t="n">
        <f aca="false">Q83+N83*0.001*9.81*(M84-M83)</f>
        <v>0.0027923818181819</v>
      </c>
    </row>
    <row r="85" customFormat="false" ht="12.8" hidden="false" customHeight="false" outlineLevel="0" collapsed="false">
      <c r="A85" s="1" t="n">
        <v>6.2</v>
      </c>
      <c r="B85" s="1" t="n">
        <v>343</v>
      </c>
      <c r="C85" s="1" t="n">
        <v>-78</v>
      </c>
      <c r="D85" s="1" t="n">
        <v>3</v>
      </c>
      <c r="E85" s="1" t="n">
        <v>975</v>
      </c>
      <c r="F85" s="1" t="n">
        <v>-1.1358018</v>
      </c>
      <c r="M85" s="1" t="n">
        <v>6.2</v>
      </c>
      <c r="N85" s="1" t="n">
        <f aca="false">C85-$I$3</f>
        <v>-8.13131313131314</v>
      </c>
      <c r="O85" s="1" t="n">
        <f aca="false">D85-$J$3</f>
        <v>1.50505050505051</v>
      </c>
      <c r="P85" s="1" t="n">
        <f aca="false">E85-$K$3</f>
        <v>-7.4545454545455</v>
      </c>
      <c r="Q85" s="1" t="n">
        <f aca="false">Q84+N84*0.001*9.81*(M85-M84)</f>
        <v>0.00276661818181826</v>
      </c>
    </row>
    <row r="86" customFormat="false" ht="12.8" hidden="false" customHeight="false" outlineLevel="0" collapsed="false">
      <c r="A86" s="1" t="n">
        <v>6.22</v>
      </c>
      <c r="B86" s="1" t="n">
        <v>343</v>
      </c>
      <c r="C86" s="1" t="n">
        <v>-74</v>
      </c>
      <c r="D86" s="1" t="n">
        <v>0</v>
      </c>
      <c r="E86" s="1" t="n">
        <v>978</v>
      </c>
      <c r="F86" s="1" t="n">
        <v>-1.1503206</v>
      </c>
      <c r="M86" s="1" t="n">
        <v>6.22</v>
      </c>
      <c r="N86" s="1" t="n">
        <f aca="false">C86-$I$3</f>
        <v>-4.13131313131314</v>
      </c>
      <c r="O86" s="1" t="n">
        <f aca="false">D86-$J$3</f>
        <v>-1.4949494949495</v>
      </c>
      <c r="P86" s="1" t="n">
        <f aca="false">E86-$K$3</f>
        <v>-4.4545454545455</v>
      </c>
      <c r="Q86" s="1" t="n">
        <f aca="false">Q85+N85*0.001*9.81*(M86-M85)</f>
        <v>0.00117125454545465</v>
      </c>
    </row>
    <row r="87" customFormat="false" ht="12.8" hidden="false" customHeight="false" outlineLevel="0" collapsed="false">
      <c r="A87" s="1" t="n">
        <v>6.24</v>
      </c>
      <c r="B87" s="1" t="n">
        <v>344</v>
      </c>
      <c r="C87" s="1" t="n">
        <v>-74</v>
      </c>
      <c r="D87" s="1" t="n">
        <v>3</v>
      </c>
      <c r="E87" s="1" t="n">
        <v>978</v>
      </c>
      <c r="F87" s="1" t="n">
        <v>-1.1648394</v>
      </c>
      <c r="M87" s="1" t="n">
        <v>6.24</v>
      </c>
      <c r="N87" s="1" t="n">
        <f aca="false">C87-$I$3</f>
        <v>-4.13131313131314</v>
      </c>
      <c r="O87" s="1" t="n">
        <f aca="false">D87-$J$3</f>
        <v>1.50505050505051</v>
      </c>
      <c r="P87" s="1" t="n">
        <f aca="false">E87-$K$3</f>
        <v>-4.4545454545455</v>
      </c>
      <c r="Q87" s="1" t="n">
        <f aca="false">Q86+N86*0.001*9.81*(M87-M86)</f>
        <v>0.000360690909090998</v>
      </c>
    </row>
    <row r="88" customFormat="false" ht="12.8" hidden="false" customHeight="false" outlineLevel="0" collapsed="false">
      <c r="A88" s="1" t="n">
        <v>6.26</v>
      </c>
      <c r="B88" s="1" t="n">
        <v>344</v>
      </c>
      <c r="C88" s="1" t="n">
        <v>-66</v>
      </c>
      <c r="D88" s="1" t="n">
        <v>-3</v>
      </c>
      <c r="E88" s="1" t="n">
        <v>994</v>
      </c>
      <c r="F88" s="1" t="n">
        <v>-1.1777886</v>
      </c>
      <c r="M88" s="1" t="n">
        <v>6.26</v>
      </c>
      <c r="N88" s="1" t="n">
        <f aca="false">C88-$I$3</f>
        <v>3.86868686868687</v>
      </c>
      <c r="O88" s="1" t="n">
        <f aca="false">D88-$J$3</f>
        <v>-4.4949494949495</v>
      </c>
      <c r="P88" s="1" t="n">
        <f aca="false">E88-$K$3</f>
        <v>11.5454545454545</v>
      </c>
      <c r="Q88" s="1" t="n">
        <f aca="false">Q87+N87*0.001*9.81*(M88-M87)</f>
        <v>-0.000449872727272622</v>
      </c>
    </row>
    <row r="89" customFormat="false" ht="12.8" hidden="false" customHeight="false" outlineLevel="0" collapsed="false">
      <c r="A89" s="1" t="n">
        <v>6.28</v>
      </c>
      <c r="B89" s="1" t="n">
        <v>344</v>
      </c>
      <c r="C89" s="1" t="n">
        <v>-70</v>
      </c>
      <c r="D89" s="1" t="n">
        <v>0</v>
      </c>
      <c r="E89" s="1" t="n">
        <v>982</v>
      </c>
      <c r="F89" s="1" t="n">
        <v>-1.1915226</v>
      </c>
      <c r="M89" s="1" t="n">
        <v>6.28</v>
      </c>
      <c r="N89" s="1" t="n">
        <f aca="false">C89-$I$3</f>
        <v>-0.131313131313135</v>
      </c>
      <c r="O89" s="1" t="n">
        <f aca="false">D89-$J$3</f>
        <v>-1.4949494949495</v>
      </c>
      <c r="P89" s="1" t="n">
        <f aca="false">E89-$K$3</f>
        <v>-0.454545454545496</v>
      </c>
      <c r="Q89" s="1" t="n">
        <f aca="false">Q88+N88*0.001*9.81*(M89-M88)</f>
        <v>0.000309163636363759</v>
      </c>
    </row>
    <row r="90" customFormat="false" ht="12.8" hidden="false" customHeight="false" outlineLevel="0" collapsed="false">
      <c r="A90" s="1" t="n">
        <v>6.3</v>
      </c>
      <c r="B90" s="1" t="n">
        <v>343</v>
      </c>
      <c r="C90" s="1" t="n">
        <v>-66</v>
      </c>
      <c r="D90" s="1" t="n">
        <v>-3</v>
      </c>
      <c r="E90" s="1" t="n">
        <v>986</v>
      </c>
      <c r="F90" s="1" t="n">
        <v>-1.2044718</v>
      </c>
      <c r="M90" s="1" t="n">
        <v>6.3</v>
      </c>
      <c r="N90" s="1" t="n">
        <f aca="false">C90-$I$3</f>
        <v>3.86868686868687</v>
      </c>
      <c r="O90" s="1" t="n">
        <f aca="false">D90-$J$3</f>
        <v>-4.4949494949495</v>
      </c>
      <c r="P90" s="1" t="n">
        <f aca="false">E90-$K$3</f>
        <v>3.5454545454545</v>
      </c>
      <c r="Q90" s="1" t="n">
        <f aca="false">Q89+N89*0.001*9.81*(M90-M89)</f>
        <v>0.000283400000000122</v>
      </c>
    </row>
    <row r="91" customFormat="false" ht="12.8" hidden="false" customHeight="false" outlineLevel="0" collapsed="false">
      <c r="A91" s="1" t="n">
        <v>6.32</v>
      </c>
      <c r="B91" s="1" t="n">
        <v>344</v>
      </c>
      <c r="C91" s="1" t="n">
        <v>-66</v>
      </c>
      <c r="D91" s="1" t="n">
        <v>3</v>
      </c>
      <c r="E91" s="1" t="n">
        <v>982</v>
      </c>
      <c r="F91" s="1" t="n">
        <v>-1.217421</v>
      </c>
      <c r="M91" s="1" t="n">
        <v>6.32</v>
      </c>
      <c r="N91" s="1" t="n">
        <f aca="false">C91-$I$3</f>
        <v>3.86868686868687</v>
      </c>
      <c r="O91" s="1" t="n">
        <f aca="false">D91-$J$3</f>
        <v>1.50505050505051</v>
      </c>
      <c r="P91" s="1" t="n">
        <f aca="false">E91-$K$3</f>
        <v>-0.454545454545496</v>
      </c>
      <c r="Q91" s="1" t="n">
        <f aca="false">Q90+N90*0.001*9.81*(M91-M90)</f>
        <v>0.0010424363636365</v>
      </c>
    </row>
    <row r="92" customFormat="false" ht="12.8" hidden="false" customHeight="false" outlineLevel="0" collapsed="false">
      <c r="A92" s="1" t="n">
        <v>6.34</v>
      </c>
      <c r="B92" s="1" t="n">
        <v>342</v>
      </c>
      <c r="C92" s="1" t="n">
        <v>-70</v>
      </c>
      <c r="D92" s="1" t="n">
        <v>0</v>
      </c>
      <c r="E92" s="1" t="n">
        <v>986</v>
      </c>
      <c r="F92" s="1" t="n">
        <v>-1.231155</v>
      </c>
      <c r="M92" s="1" t="n">
        <v>6.34</v>
      </c>
      <c r="N92" s="1" t="n">
        <f aca="false">C92-$I$3</f>
        <v>-0.131313131313135</v>
      </c>
      <c r="O92" s="1" t="n">
        <f aca="false">D92-$J$3</f>
        <v>-1.4949494949495</v>
      </c>
      <c r="P92" s="1" t="n">
        <f aca="false">E92-$K$3</f>
        <v>3.5454545454545</v>
      </c>
      <c r="Q92" s="1" t="n">
        <f aca="false">Q91+N91*0.001*9.81*(M92-M91)</f>
        <v>0.00180147272727285</v>
      </c>
    </row>
    <row r="93" customFormat="false" ht="12.8" hidden="false" customHeight="false" outlineLevel="0" collapsed="false">
      <c r="A93" s="1" t="n">
        <v>6.36</v>
      </c>
      <c r="B93" s="1" t="n">
        <v>344</v>
      </c>
      <c r="C93" s="1" t="n">
        <v>-66</v>
      </c>
      <c r="D93" s="1" t="n">
        <v>0</v>
      </c>
      <c r="E93" s="1" t="n">
        <v>967</v>
      </c>
      <c r="F93" s="1" t="n">
        <v>-1.2441042</v>
      </c>
      <c r="M93" s="1" t="n">
        <v>6.36</v>
      </c>
      <c r="N93" s="1" t="n">
        <f aca="false">C93-$I$3</f>
        <v>3.86868686868687</v>
      </c>
      <c r="O93" s="1" t="n">
        <f aca="false">D93-$J$3</f>
        <v>-1.4949494949495</v>
      </c>
      <c r="P93" s="1" t="n">
        <f aca="false">E93-$K$3</f>
        <v>-15.4545454545455</v>
      </c>
      <c r="Q93" s="1" t="n">
        <f aca="false">Q92+N92*0.001*9.81*(M93-M92)</f>
        <v>0.00177570909090921</v>
      </c>
    </row>
    <row r="94" customFormat="false" ht="12.8" hidden="false" customHeight="false" outlineLevel="0" collapsed="false">
      <c r="A94" s="1" t="n">
        <v>6.38</v>
      </c>
      <c r="B94" s="1" t="n">
        <v>343</v>
      </c>
      <c r="C94" s="1" t="n">
        <v>-74</v>
      </c>
      <c r="D94" s="1" t="n">
        <v>0</v>
      </c>
      <c r="E94" s="1" t="n">
        <v>982</v>
      </c>
      <c r="F94" s="1" t="n">
        <v>-1.258623</v>
      </c>
      <c r="M94" s="1" t="n">
        <v>6.38</v>
      </c>
      <c r="N94" s="1" t="n">
        <f aca="false">C94-$I$3</f>
        <v>-4.13131313131314</v>
      </c>
      <c r="O94" s="1" t="n">
        <f aca="false">D94-$J$3</f>
        <v>-1.4949494949495</v>
      </c>
      <c r="P94" s="1" t="n">
        <f aca="false">E94-$K$3</f>
        <v>-0.454545454545496</v>
      </c>
      <c r="Q94" s="1" t="n">
        <f aca="false">Q93+N93*0.001*9.81*(M94-M93)</f>
        <v>0.00253474545454556</v>
      </c>
    </row>
    <row r="95" customFormat="false" ht="12.8" hidden="false" customHeight="false" outlineLevel="0" collapsed="false">
      <c r="A95" s="1" t="n">
        <v>6.4</v>
      </c>
      <c r="B95" s="1" t="n">
        <v>344</v>
      </c>
      <c r="C95" s="1" t="n">
        <v>-74</v>
      </c>
      <c r="D95" s="1" t="n">
        <v>-3</v>
      </c>
      <c r="E95" s="1" t="n">
        <v>982</v>
      </c>
      <c r="F95" s="1" t="n">
        <v>-1.2731418</v>
      </c>
      <c r="M95" s="1" t="n">
        <v>6.4</v>
      </c>
      <c r="N95" s="1" t="n">
        <f aca="false">C95-$I$3</f>
        <v>-4.13131313131314</v>
      </c>
      <c r="O95" s="1" t="n">
        <f aca="false">D95-$J$3</f>
        <v>-4.4949494949495</v>
      </c>
      <c r="P95" s="1" t="n">
        <f aca="false">E95-$K$3</f>
        <v>-0.454545454545496</v>
      </c>
      <c r="Q95" s="1" t="n">
        <f aca="false">Q94+N94*0.001*9.81*(M95-M94)</f>
        <v>0.0017241818181819</v>
      </c>
    </row>
    <row r="96" customFormat="false" ht="12.8" hidden="false" customHeight="false" outlineLevel="0" collapsed="false">
      <c r="A96" s="1" t="n">
        <v>6.42</v>
      </c>
      <c r="B96" s="1" t="n">
        <v>344</v>
      </c>
      <c r="C96" s="1" t="n">
        <v>-66</v>
      </c>
      <c r="D96" s="1" t="n">
        <v>0</v>
      </c>
      <c r="E96" s="1" t="n">
        <v>986</v>
      </c>
      <c r="F96" s="1" t="n">
        <v>-1.286091</v>
      </c>
      <c r="M96" s="1" t="n">
        <v>6.42</v>
      </c>
      <c r="N96" s="1" t="n">
        <f aca="false">C96-$I$3</f>
        <v>3.86868686868687</v>
      </c>
      <c r="O96" s="1" t="n">
        <f aca="false">D96-$J$3</f>
        <v>-1.4949494949495</v>
      </c>
      <c r="P96" s="1" t="n">
        <f aca="false">E96-$K$3</f>
        <v>3.5454545454545</v>
      </c>
      <c r="Q96" s="1" t="n">
        <f aca="false">Q95+N95*0.001*9.81*(M96-M95)</f>
        <v>0.000913618181818283</v>
      </c>
    </row>
    <row r="97" customFormat="false" ht="12.8" hidden="false" customHeight="false" outlineLevel="0" collapsed="false">
      <c r="A97" s="1" t="n">
        <v>6.44</v>
      </c>
      <c r="B97" s="1" t="n">
        <v>344</v>
      </c>
      <c r="C97" s="1" t="n">
        <v>-70</v>
      </c>
      <c r="D97" s="1" t="n">
        <v>3</v>
      </c>
      <c r="E97" s="1" t="n">
        <v>986</v>
      </c>
      <c r="F97" s="1" t="n">
        <v>-1.299825</v>
      </c>
      <c r="M97" s="1" t="n">
        <v>6.44</v>
      </c>
      <c r="N97" s="1" t="n">
        <f aca="false">C97-$I$3</f>
        <v>-0.131313131313135</v>
      </c>
      <c r="O97" s="1" t="n">
        <f aca="false">D97-$J$3</f>
        <v>1.50505050505051</v>
      </c>
      <c r="P97" s="1" t="n">
        <f aca="false">E97-$K$3</f>
        <v>3.5454545454545</v>
      </c>
      <c r="Q97" s="1" t="n">
        <f aca="false">Q96+N96*0.001*9.81*(M97-M96)</f>
        <v>0.00167265454545466</v>
      </c>
    </row>
    <row r="98" customFormat="false" ht="12.8" hidden="false" customHeight="false" outlineLevel="0" collapsed="false">
      <c r="A98" s="1" t="n">
        <v>6.46</v>
      </c>
      <c r="B98" s="1" t="n">
        <v>344</v>
      </c>
      <c r="C98" s="1" t="n">
        <v>-70</v>
      </c>
      <c r="D98" s="1" t="n">
        <v>0</v>
      </c>
      <c r="E98" s="1" t="n">
        <v>986</v>
      </c>
      <c r="F98" s="1" t="n">
        <v>-1.313559</v>
      </c>
      <c r="M98" s="1" t="n">
        <v>6.46</v>
      </c>
      <c r="N98" s="1" t="n">
        <f aca="false">C98-$I$3</f>
        <v>-0.131313131313135</v>
      </c>
      <c r="O98" s="1" t="n">
        <f aca="false">D98-$J$3</f>
        <v>-1.4949494949495</v>
      </c>
      <c r="P98" s="1" t="n">
        <f aca="false">E98-$K$3</f>
        <v>3.5454545454545</v>
      </c>
      <c r="Q98" s="1" t="n">
        <f aca="false">Q97+N97*0.001*9.81*(M98-M97)</f>
        <v>0.00164689090909103</v>
      </c>
    </row>
    <row r="99" customFormat="false" ht="12.8" hidden="false" customHeight="false" outlineLevel="0" collapsed="false">
      <c r="A99" s="1" t="n">
        <v>6.48</v>
      </c>
      <c r="B99" s="1" t="n">
        <v>343</v>
      </c>
      <c r="C99" s="1" t="n">
        <v>-74</v>
      </c>
      <c r="D99" s="1" t="n">
        <v>3</v>
      </c>
      <c r="E99" s="1" t="n">
        <v>978</v>
      </c>
      <c r="F99" s="1" t="n">
        <v>-1.3280778</v>
      </c>
      <c r="M99" s="1" t="n">
        <v>6.48</v>
      </c>
      <c r="N99" s="1" t="n">
        <f aca="false">C99-$I$3</f>
        <v>-4.13131313131314</v>
      </c>
      <c r="O99" s="1" t="n">
        <f aca="false">D99-$J$3</f>
        <v>1.50505050505051</v>
      </c>
      <c r="P99" s="1" t="n">
        <f aca="false">E99-$K$3</f>
        <v>-4.4545454545455</v>
      </c>
      <c r="Q99" s="1" t="n">
        <f aca="false">Q98+N98*0.001*9.81*(M99-M98)</f>
        <v>0.00162112727272739</v>
      </c>
    </row>
    <row r="100" customFormat="false" ht="12.8" hidden="false" customHeight="false" outlineLevel="0" collapsed="false">
      <c r="A100" s="1" t="n">
        <v>6.5</v>
      </c>
      <c r="B100" s="1" t="n">
        <v>344</v>
      </c>
      <c r="C100" s="1" t="n">
        <v>-74</v>
      </c>
      <c r="D100" s="1" t="n">
        <v>19</v>
      </c>
      <c r="E100" s="1" t="n">
        <v>994</v>
      </c>
      <c r="F100" s="1" t="n">
        <v>-1.3425966</v>
      </c>
      <c r="M100" s="1" t="n">
        <v>6.5</v>
      </c>
      <c r="N100" s="1" t="n">
        <f aca="false">C100-$I$3</f>
        <v>-4.13131313131314</v>
      </c>
      <c r="O100" s="1" t="n">
        <f aca="false">D100-$J$3</f>
        <v>17.5050505050505</v>
      </c>
      <c r="P100" s="1" t="n">
        <f aca="false">E100-$K$3</f>
        <v>11.5454545454545</v>
      </c>
      <c r="Q100" s="1" t="n">
        <f aca="false">Q99+N99*0.001*9.81*(M100-M99)</f>
        <v>0.000810563636363769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2026-05-03T18:53:03Z</dcterms:modified>
  <cp:revision>3</cp:revision>
  <dc:subject/>
  <dc:title/>
</cp:coreProperties>
</file>